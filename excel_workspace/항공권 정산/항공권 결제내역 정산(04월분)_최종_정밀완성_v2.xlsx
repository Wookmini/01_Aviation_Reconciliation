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20000177\Desktop\WOOKMINI\excel_workspace\항공권 정산\"/>
    </mc:Choice>
  </mc:AlternateContent>
  <xr:revisionPtr revIDLastSave="0" documentId="13_ncr:1_{DEE654A7-A057-4822-9B4B-6DBE792842E6}" xr6:coauthVersionLast="47" xr6:coauthVersionMax="47" xr10:uidLastSave="{00000000-0000-0000-0000-000000000000}"/>
  <bookViews>
    <workbookView xWindow="28680" yWindow="-120" windowWidth="29040" windowHeight="15720" firstSheet="1" activeTab="5" xr2:uid="{00000000-000D-0000-FFFF-FFFF00000000}"/>
  </bookViews>
  <sheets>
    <sheet name="CC정리" sheetId="1" state="hidden" r:id="rId1"/>
    <sheet name="정산내역" sheetId="2" r:id="rId2"/>
    <sheet name="e-DAHS 전표내역" sheetId="3" r:id="rId3"/>
    <sheet name="세중 발권리스트" sheetId="4" r:id="rId4"/>
    <sheet name="하나카드 결제내역" sheetId="5" r:id="rId5"/>
    <sheet name="영문국문명" sheetId="6" r:id="rId6"/>
    <sheet name="사번소속이름" sheetId="7" state="hidden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2" hidden="1">'e-DAHS 전표내역'!$A$1:$X$2</definedName>
    <definedName name="_xlnm._FilterDatabase" localSheetId="6" hidden="1">사번소속이름!$A$1:$C$2</definedName>
    <definedName name="_xlnm._FilterDatabase" localSheetId="5" hidden="1">영문국문명!$A$1:$R$431</definedName>
    <definedName name="ExternalData_1" localSheetId="3">'세중 발권리스트'!$A$1:$BE$19</definedName>
    <definedName name="ExternalData_2" localSheetId="3">'세중 발권리스트'!#REF!</definedName>
    <definedName name="ExternalData_3" localSheetId="3">'세중 발권리스트'!#REF!</definedName>
    <definedName name="ExternalData_4" localSheetId="3">'세중 발권리스트'!#REF!</definedName>
    <definedName name="ExternalData_5" localSheetId="3">'세중 발권리스트'!#REF!</definedName>
    <definedName name="ExternalData_6" localSheetId="3">'세중 발권리스트'!$A$1:$BE$19</definedName>
    <definedName name="ExternalData_7" localSheetId="3">'세중 발권리스트'!$A$1:$BE$13</definedName>
    <definedName name="ExternalData_8" localSheetId="3">'세중 발권리스트'!$A$1:$AZ$30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6" l="1"/>
  <c r="D431" i="6"/>
  <c r="D430" i="6"/>
  <c r="D429" i="6"/>
  <c r="D428" i="6"/>
  <c r="D427" i="6"/>
  <c r="D426" i="6"/>
  <c r="D425" i="6"/>
  <c r="H424" i="6"/>
  <c r="D424" i="6"/>
  <c r="H423" i="6"/>
  <c r="D423" i="6"/>
  <c r="H422" i="6"/>
  <c r="D422" i="6"/>
  <c r="H421" i="6"/>
  <c r="D421" i="6"/>
  <c r="H420" i="6"/>
  <c r="D420" i="6"/>
  <c r="H419" i="6"/>
  <c r="D419" i="6"/>
  <c r="H418" i="6"/>
  <c r="D418" i="6"/>
  <c r="H417" i="6"/>
  <c r="D417" i="6"/>
  <c r="H416" i="6"/>
  <c r="D416" i="6"/>
  <c r="H415" i="6"/>
  <c r="D415" i="6"/>
  <c r="H414" i="6"/>
  <c r="D414" i="6"/>
  <c r="H413" i="6"/>
  <c r="D413" i="6"/>
  <c r="H412" i="6"/>
  <c r="D412" i="6"/>
  <c r="H411" i="6"/>
  <c r="D411" i="6"/>
  <c r="H410" i="6"/>
  <c r="D410" i="6"/>
  <c r="H409" i="6"/>
  <c r="D409" i="6"/>
  <c r="H408" i="6"/>
  <c r="D408" i="6"/>
  <c r="H407" i="6"/>
  <c r="D407" i="6"/>
  <c r="H406" i="6"/>
  <c r="D406" i="6"/>
  <c r="H405" i="6"/>
  <c r="D405" i="6"/>
  <c r="H404" i="6"/>
  <c r="D404" i="6"/>
  <c r="H403" i="6"/>
  <c r="D403" i="6"/>
  <c r="H402" i="6"/>
  <c r="D402" i="6"/>
  <c r="H401" i="6"/>
  <c r="D401" i="6"/>
  <c r="H400" i="6"/>
  <c r="D400" i="6"/>
  <c r="H399" i="6"/>
  <c r="D399" i="6"/>
  <c r="H398" i="6"/>
  <c r="D398" i="6"/>
  <c r="H397" i="6"/>
  <c r="D397" i="6"/>
  <c r="H396" i="6"/>
  <c r="D396" i="6"/>
  <c r="H395" i="6"/>
  <c r="D395" i="6"/>
  <c r="H394" i="6"/>
  <c r="D394" i="6"/>
  <c r="H393" i="6"/>
  <c r="D393" i="6"/>
  <c r="H392" i="6"/>
  <c r="D392" i="6"/>
  <c r="H391" i="6"/>
  <c r="D391" i="6"/>
  <c r="H390" i="6"/>
  <c r="D390" i="6"/>
  <c r="H389" i="6"/>
  <c r="D389" i="6"/>
  <c r="H388" i="6"/>
  <c r="D388" i="6"/>
  <c r="H387" i="6"/>
  <c r="D387" i="6"/>
  <c r="H386" i="6"/>
  <c r="D386" i="6"/>
  <c r="H385" i="6"/>
  <c r="D385" i="6"/>
  <c r="H384" i="6"/>
  <c r="D384" i="6"/>
  <c r="H383" i="6"/>
  <c r="D383" i="6"/>
  <c r="H382" i="6"/>
  <c r="D382" i="6"/>
  <c r="H381" i="6"/>
  <c r="D381" i="6"/>
  <c r="H380" i="6"/>
  <c r="D380" i="6"/>
  <c r="H379" i="6"/>
  <c r="D379" i="6"/>
  <c r="H378" i="6"/>
  <c r="D378" i="6"/>
  <c r="H377" i="6"/>
  <c r="D377" i="6"/>
  <c r="H376" i="6"/>
  <c r="D376" i="6"/>
  <c r="H375" i="6"/>
  <c r="D375" i="6"/>
  <c r="H374" i="6"/>
  <c r="D374" i="6"/>
  <c r="H373" i="6"/>
  <c r="D373" i="6"/>
  <c r="H372" i="6"/>
  <c r="D372" i="6"/>
  <c r="H371" i="6"/>
  <c r="D371" i="6"/>
  <c r="H370" i="6"/>
  <c r="D370" i="6"/>
  <c r="H369" i="6"/>
  <c r="D369" i="6"/>
  <c r="H368" i="6"/>
  <c r="D368" i="6"/>
  <c r="H367" i="6"/>
  <c r="D367" i="6"/>
  <c r="H366" i="6"/>
  <c r="D366" i="6"/>
  <c r="H365" i="6"/>
  <c r="D365" i="6"/>
  <c r="H364" i="6"/>
  <c r="D364" i="6"/>
  <c r="H363" i="6"/>
  <c r="D363" i="6"/>
  <c r="H362" i="6"/>
  <c r="D362" i="6"/>
  <c r="H361" i="6"/>
  <c r="D361" i="6"/>
  <c r="H360" i="6"/>
  <c r="D360" i="6"/>
  <c r="H359" i="6"/>
  <c r="D359" i="6"/>
  <c r="H358" i="6"/>
  <c r="D358" i="6"/>
  <c r="H357" i="6"/>
  <c r="D357" i="6"/>
  <c r="H356" i="6"/>
  <c r="D356" i="6"/>
  <c r="H355" i="6"/>
  <c r="D355" i="6"/>
  <c r="H354" i="6"/>
  <c r="D354" i="6"/>
  <c r="H353" i="6"/>
  <c r="D353" i="6"/>
  <c r="H352" i="6"/>
  <c r="D352" i="6"/>
  <c r="H351" i="6"/>
  <c r="D351" i="6"/>
  <c r="H350" i="6"/>
  <c r="D350" i="6"/>
  <c r="H349" i="6"/>
  <c r="D349" i="6"/>
  <c r="H348" i="6"/>
  <c r="D348" i="6"/>
  <c r="H347" i="6"/>
  <c r="D347" i="6"/>
  <c r="H346" i="6"/>
  <c r="D346" i="6"/>
  <c r="H345" i="6"/>
  <c r="D345" i="6"/>
  <c r="H344" i="6"/>
  <c r="D344" i="6"/>
  <c r="H343" i="6"/>
  <c r="D343" i="6"/>
  <c r="H342" i="6"/>
  <c r="D342" i="6"/>
  <c r="H341" i="6"/>
  <c r="D341" i="6"/>
  <c r="H340" i="6"/>
  <c r="D340" i="6"/>
  <c r="H339" i="6"/>
  <c r="D339" i="6"/>
  <c r="H338" i="6"/>
  <c r="D338" i="6"/>
  <c r="H337" i="6"/>
  <c r="D337" i="6"/>
  <c r="H336" i="6"/>
  <c r="D336" i="6"/>
  <c r="H335" i="6"/>
  <c r="D335" i="6"/>
  <c r="H334" i="6"/>
  <c r="D334" i="6"/>
  <c r="H333" i="6"/>
  <c r="D333" i="6"/>
  <c r="H332" i="6"/>
  <c r="D332" i="6"/>
  <c r="H331" i="6"/>
  <c r="D331" i="6"/>
  <c r="H330" i="6"/>
  <c r="D330" i="6"/>
  <c r="H329" i="6"/>
  <c r="D329" i="6"/>
  <c r="H328" i="6"/>
  <c r="D328" i="6"/>
  <c r="H327" i="6"/>
  <c r="D327" i="6"/>
  <c r="H326" i="6"/>
  <c r="D326" i="6"/>
  <c r="H325" i="6"/>
  <c r="D325" i="6"/>
  <c r="H324" i="6"/>
  <c r="D324" i="6"/>
  <c r="H323" i="6"/>
  <c r="D323" i="6"/>
  <c r="H322" i="6"/>
  <c r="D322" i="6"/>
  <c r="H321" i="6"/>
  <c r="D321" i="6"/>
  <c r="H320" i="6"/>
  <c r="D320" i="6"/>
  <c r="H319" i="6"/>
  <c r="D319" i="6"/>
  <c r="H318" i="6"/>
  <c r="D318" i="6"/>
  <c r="H317" i="6"/>
  <c r="D317" i="6"/>
  <c r="H316" i="6"/>
  <c r="D316" i="6"/>
  <c r="H315" i="6"/>
  <c r="D315" i="6"/>
  <c r="H314" i="6"/>
  <c r="D314" i="6"/>
  <c r="H313" i="6"/>
  <c r="D313" i="6"/>
  <c r="H312" i="6"/>
  <c r="D312" i="6"/>
  <c r="H311" i="6"/>
  <c r="D311" i="6"/>
  <c r="H310" i="6"/>
  <c r="D310" i="6"/>
  <c r="H309" i="6"/>
  <c r="D309" i="6"/>
  <c r="H308" i="6"/>
  <c r="D308" i="6"/>
  <c r="H307" i="6"/>
  <c r="D307" i="6"/>
  <c r="H306" i="6"/>
  <c r="D306" i="6"/>
  <c r="H305" i="6"/>
  <c r="D305" i="6"/>
  <c r="H304" i="6"/>
  <c r="D304" i="6"/>
  <c r="H303" i="6"/>
  <c r="D303" i="6"/>
  <c r="H302" i="6"/>
  <c r="D302" i="6"/>
  <c r="H301" i="6"/>
  <c r="D301" i="6"/>
  <c r="H300" i="6"/>
  <c r="D300" i="6"/>
  <c r="H299" i="6"/>
  <c r="D299" i="6"/>
  <c r="H298" i="6"/>
  <c r="D298" i="6"/>
  <c r="H297" i="6"/>
  <c r="D297" i="6"/>
  <c r="H296" i="6"/>
  <c r="D296" i="6"/>
  <c r="H295" i="6"/>
  <c r="D295" i="6"/>
  <c r="H294" i="6"/>
  <c r="D294" i="6"/>
  <c r="H293" i="6"/>
  <c r="D293" i="6"/>
  <c r="H292" i="6"/>
  <c r="D292" i="6"/>
  <c r="H291" i="6"/>
  <c r="D291" i="6"/>
  <c r="H290" i="6"/>
  <c r="D290" i="6"/>
  <c r="H289" i="6"/>
  <c r="D289" i="6"/>
  <c r="H288" i="6"/>
  <c r="D288" i="6"/>
  <c r="H287" i="6"/>
  <c r="D287" i="6"/>
  <c r="H286" i="6"/>
  <c r="D286" i="6"/>
  <c r="H285" i="6"/>
  <c r="D285" i="6"/>
  <c r="H284" i="6"/>
  <c r="D284" i="6"/>
  <c r="H283" i="6"/>
  <c r="D283" i="6"/>
  <c r="H282" i="6"/>
  <c r="D282" i="6"/>
  <c r="H281" i="6"/>
  <c r="D281" i="6"/>
  <c r="H280" i="6"/>
  <c r="D280" i="6"/>
  <c r="H279" i="6"/>
  <c r="D279" i="6"/>
  <c r="H278" i="6"/>
  <c r="D278" i="6"/>
  <c r="H277" i="6"/>
  <c r="D277" i="6"/>
  <c r="H276" i="6"/>
  <c r="D276" i="6"/>
  <c r="H275" i="6"/>
  <c r="D275" i="6"/>
  <c r="H274" i="6"/>
  <c r="D274" i="6"/>
  <c r="H273" i="6"/>
  <c r="D273" i="6"/>
  <c r="H272" i="6"/>
  <c r="D272" i="6"/>
  <c r="H271" i="6"/>
  <c r="D271" i="6"/>
  <c r="H270" i="6"/>
  <c r="D270" i="6"/>
  <c r="H269" i="6"/>
  <c r="D269" i="6"/>
  <c r="H268" i="6"/>
  <c r="D268" i="6"/>
  <c r="H267" i="6"/>
  <c r="D267" i="6"/>
  <c r="H266" i="6"/>
  <c r="D266" i="6"/>
  <c r="H265" i="6"/>
  <c r="D265" i="6"/>
  <c r="H264" i="6"/>
  <c r="D264" i="6"/>
  <c r="H263" i="6"/>
  <c r="D263" i="6"/>
  <c r="H262" i="6"/>
  <c r="D262" i="6"/>
  <c r="H261" i="6"/>
  <c r="D261" i="6"/>
  <c r="H260" i="6"/>
  <c r="D260" i="6"/>
  <c r="H259" i="6"/>
  <c r="D259" i="6"/>
  <c r="H258" i="6"/>
  <c r="D258" i="6"/>
  <c r="H257" i="6"/>
  <c r="D257" i="6"/>
  <c r="H256" i="6"/>
  <c r="D256" i="6"/>
  <c r="H255" i="6"/>
  <c r="D255" i="6"/>
  <c r="H254" i="6"/>
  <c r="D254" i="6"/>
  <c r="H253" i="6"/>
  <c r="D253" i="6"/>
  <c r="H252" i="6"/>
  <c r="D252" i="6"/>
  <c r="H251" i="6"/>
  <c r="D251" i="6"/>
  <c r="H250" i="6"/>
  <c r="D250" i="6"/>
  <c r="H249" i="6"/>
  <c r="D249" i="6"/>
  <c r="H248" i="6"/>
  <c r="D248" i="6"/>
  <c r="H247" i="6"/>
  <c r="D247" i="6"/>
  <c r="H246" i="6"/>
  <c r="D246" i="6"/>
  <c r="H245" i="6"/>
  <c r="D245" i="6"/>
  <c r="H244" i="6"/>
  <c r="D244" i="6"/>
  <c r="H243" i="6"/>
  <c r="D243" i="6"/>
  <c r="H242" i="6"/>
  <c r="D242" i="6"/>
  <c r="H241" i="6"/>
  <c r="D241" i="6"/>
  <c r="H240" i="6"/>
  <c r="D240" i="6"/>
  <c r="H239" i="6"/>
  <c r="D239" i="6"/>
  <c r="H238" i="6"/>
  <c r="D238" i="6"/>
  <c r="H237" i="6"/>
  <c r="D237" i="6"/>
  <c r="H236" i="6"/>
  <c r="D236" i="6"/>
  <c r="R235" i="6"/>
  <c r="Q235" i="6"/>
  <c r="P235" i="6"/>
  <c r="N235" i="6"/>
  <c r="M235" i="6"/>
  <c r="L235" i="6"/>
  <c r="H235" i="6"/>
  <c r="D235" i="6"/>
  <c r="R234" i="6"/>
  <c r="Q234" i="6"/>
  <c r="P234" i="6"/>
  <c r="N234" i="6"/>
  <c r="M234" i="6"/>
  <c r="L234" i="6"/>
  <c r="H234" i="6"/>
  <c r="D234" i="6"/>
  <c r="R233" i="6"/>
  <c r="Q233" i="6"/>
  <c r="P233" i="6"/>
  <c r="N233" i="6"/>
  <c r="M233" i="6"/>
  <c r="L233" i="6"/>
  <c r="H233" i="6"/>
  <c r="D233" i="6"/>
  <c r="R232" i="6"/>
  <c r="Q232" i="6"/>
  <c r="P232" i="6"/>
  <c r="N232" i="6"/>
  <c r="M232" i="6"/>
  <c r="L232" i="6"/>
  <c r="H232" i="6"/>
  <c r="D232" i="6"/>
  <c r="R231" i="6"/>
  <c r="Q231" i="6"/>
  <c r="P231" i="6"/>
  <c r="N231" i="6"/>
  <c r="M231" i="6"/>
  <c r="L231" i="6"/>
  <c r="H231" i="6"/>
  <c r="D231" i="6"/>
  <c r="R230" i="6"/>
  <c r="Q230" i="6"/>
  <c r="P230" i="6"/>
  <c r="N230" i="6"/>
  <c r="M230" i="6"/>
  <c r="L230" i="6"/>
  <c r="H230" i="6"/>
  <c r="D230" i="6"/>
  <c r="R229" i="6"/>
  <c r="Q229" i="6"/>
  <c r="P229" i="6"/>
  <c r="N229" i="6"/>
  <c r="M229" i="6"/>
  <c r="L229" i="6"/>
  <c r="H229" i="6"/>
  <c r="D229" i="6"/>
  <c r="R228" i="6"/>
  <c r="Q228" i="6"/>
  <c r="P228" i="6"/>
  <c r="N228" i="6"/>
  <c r="M228" i="6"/>
  <c r="L228" i="6"/>
  <c r="H228" i="6"/>
  <c r="D228" i="6"/>
  <c r="R227" i="6"/>
  <c r="Q227" i="6"/>
  <c r="P227" i="6"/>
  <c r="N227" i="6"/>
  <c r="M227" i="6"/>
  <c r="L227" i="6"/>
  <c r="H227" i="6"/>
  <c r="D227" i="6"/>
  <c r="R226" i="6"/>
  <c r="Q226" i="6"/>
  <c r="P226" i="6"/>
  <c r="N226" i="6"/>
  <c r="M226" i="6"/>
  <c r="L226" i="6"/>
  <c r="H226" i="6"/>
  <c r="D226" i="6"/>
  <c r="R225" i="6"/>
  <c r="Q225" i="6"/>
  <c r="P225" i="6"/>
  <c r="N225" i="6"/>
  <c r="M225" i="6"/>
  <c r="L225" i="6"/>
  <c r="H225" i="6"/>
  <c r="D225" i="6"/>
  <c r="R224" i="6"/>
  <c r="Q224" i="6"/>
  <c r="P224" i="6"/>
  <c r="N224" i="6"/>
  <c r="M224" i="6"/>
  <c r="L224" i="6"/>
  <c r="H224" i="6"/>
  <c r="D224" i="6"/>
  <c r="R223" i="6"/>
  <c r="Q223" i="6"/>
  <c r="P223" i="6"/>
  <c r="N223" i="6"/>
  <c r="M223" i="6"/>
  <c r="L223" i="6"/>
  <c r="H223" i="6"/>
  <c r="D223" i="6"/>
  <c r="R222" i="6"/>
  <c r="Q222" i="6"/>
  <c r="P222" i="6"/>
  <c r="N222" i="6"/>
  <c r="M222" i="6"/>
  <c r="L222" i="6"/>
  <c r="H222" i="6"/>
  <c r="D222" i="6"/>
  <c r="R221" i="6"/>
  <c r="Q221" i="6"/>
  <c r="P221" i="6"/>
  <c r="N221" i="6"/>
  <c r="M221" i="6"/>
  <c r="L221" i="6"/>
  <c r="H221" i="6"/>
  <c r="D221" i="6"/>
  <c r="R220" i="6"/>
  <c r="Q220" i="6"/>
  <c r="P220" i="6"/>
  <c r="N220" i="6"/>
  <c r="M220" i="6"/>
  <c r="L220" i="6"/>
  <c r="H220" i="6"/>
  <c r="D220" i="6"/>
  <c r="R219" i="6"/>
  <c r="Q219" i="6"/>
  <c r="P219" i="6"/>
  <c r="N219" i="6"/>
  <c r="M219" i="6"/>
  <c r="L219" i="6"/>
  <c r="H219" i="6"/>
  <c r="D219" i="6"/>
  <c r="R218" i="6"/>
  <c r="Q218" i="6"/>
  <c r="P218" i="6"/>
  <c r="N218" i="6"/>
  <c r="M218" i="6"/>
  <c r="L218" i="6"/>
  <c r="H218" i="6"/>
  <c r="D218" i="6"/>
  <c r="R217" i="6"/>
  <c r="Q217" i="6"/>
  <c r="P217" i="6"/>
  <c r="N217" i="6"/>
  <c r="M217" i="6"/>
  <c r="L217" i="6"/>
  <c r="H217" i="6"/>
  <c r="D217" i="6"/>
  <c r="R216" i="6"/>
  <c r="Q216" i="6"/>
  <c r="P216" i="6"/>
  <c r="N216" i="6"/>
  <c r="M216" i="6"/>
  <c r="L216" i="6"/>
  <c r="H216" i="6"/>
  <c r="D216" i="6"/>
  <c r="R215" i="6"/>
  <c r="Q215" i="6"/>
  <c r="P215" i="6"/>
  <c r="N215" i="6"/>
  <c r="M215" i="6"/>
  <c r="L215" i="6"/>
  <c r="H215" i="6"/>
  <c r="D215" i="6"/>
  <c r="R214" i="6"/>
  <c r="Q214" i="6"/>
  <c r="P214" i="6"/>
  <c r="N214" i="6"/>
  <c r="M214" i="6"/>
  <c r="L214" i="6"/>
  <c r="H214" i="6"/>
  <c r="D214" i="6"/>
  <c r="R213" i="6"/>
  <c r="Q213" i="6"/>
  <c r="P213" i="6"/>
  <c r="N213" i="6"/>
  <c r="M213" i="6"/>
  <c r="L213" i="6"/>
  <c r="H213" i="6"/>
  <c r="D213" i="6"/>
  <c r="R212" i="6"/>
  <c r="Q212" i="6"/>
  <c r="P212" i="6"/>
  <c r="N212" i="6"/>
  <c r="M212" i="6"/>
  <c r="L212" i="6"/>
  <c r="H212" i="6"/>
  <c r="D212" i="6"/>
  <c r="R211" i="6"/>
  <c r="Q211" i="6"/>
  <c r="P211" i="6"/>
  <c r="N211" i="6"/>
  <c r="M211" i="6"/>
  <c r="L211" i="6"/>
  <c r="H211" i="6"/>
  <c r="D211" i="6"/>
  <c r="R210" i="6"/>
  <c r="Q210" i="6"/>
  <c r="P210" i="6"/>
  <c r="N210" i="6"/>
  <c r="M210" i="6"/>
  <c r="L210" i="6"/>
  <c r="H210" i="6"/>
  <c r="D210" i="6"/>
  <c r="R209" i="6"/>
  <c r="Q209" i="6"/>
  <c r="P209" i="6"/>
  <c r="N209" i="6"/>
  <c r="M209" i="6"/>
  <c r="L209" i="6"/>
  <c r="H209" i="6"/>
  <c r="D209" i="6"/>
  <c r="R208" i="6"/>
  <c r="Q208" i="6"/>
  <c r="P208" i="6"/>
  <c r="N208" i="6"/>
  <c r="M208" i="6"/>
  <c r="L208" i="6"/>
  <c r="D208" i="6"/>
  <c r="R207" i="6"/>
  <c r="Q207" i="6"/>
  <c r="P207" i="6"/>
  <c r="N207" i="6"/>
  <c r="M207" i="6"/>
  <c r="L207" i="6"/>
  <c r="D207" i="6"/>
  <c r="R206" i="6"/>
  <c r="Q206" i="6"/>
  <c r="P206" i="6"/>
  <c r="N206" i="6"/>
  <c r="M206" i="6"/>
  <c r="L206" i="6"/>
  <c r="D206" i="6"/>
  <c r="R205" i="6"/>
  <c r="Q205" i="6"/>
  <c r="P205" i="6"/>
  <c r="N205" i="6"/>
  <c r="M205" i="6"/>
  <c r="L205" i="6"/>
  <c r="D205" i="6"/>
  <c r="R204" i="6"/>
  <c r="Q204" i="6"/>
  <c r="P204" i="6"/>
  <c r="N204" i="6"/>
  <c r="M204" i="6"/>
  <c r="L204" i="6"/>
  <c r="D204" i="6"/>
  <c r="R203" i="6"/>
  <c r="Q203" i="6"/>
  <c r="P203" i="6"/>
  <c r="N203" i="6"/>
  <c r="M203" i="6"/>
  <c r="L203" i="6"/>
  <c r="D203" i="6"/>
  <c r="R202" i="6"/>
  <c r="Q202" i="6"/>
  <c r="P202" i="6"/>
  <c r="N202" i="6"/>
  <c r="M202" i="6"/>
  <c r="L202" i="6"/>
  <c r="D202" i="6"/>
  <c r="R201" i="6"/>
  <c r="Q201" i="6"/>
  <c r="P201" i="6"/>
  <c r="N201" i="6"/>
  <c r="M201" i="6"/>
  <c r="L201" i="6"/>
  <c r="D201" i="6"/>
  <c r="R200" i="6"/>
  <c r="Q200" i="6"/>
  <c r="P200" i="6"/>
  <c r="N200" i="6"/>
  <c r="M200" i="6"/>
  <c r="L200" i="6"/>
  <c r="D200" i="6"/>
  <c r="R199" i="6"/>
  <c r="Q199" i="6"/>
  <c r="P199" i="6"/>
  <c r="N199" i="6"/>
  <c r="M199" i="6"/>
  <c r="L199" i="6"/>
  <c r="D199" i="6"/>
  <c r="R198" i="6"/>
  <c r="Q198" i="6"/>
  <c r="P198" i="6"/>
  <c r="N198" i="6"/>
  <c r="M198" i="6"/>
  <c r="L198" i="6"/>
  <c r="D198" i="6"/>
  <c r="R197" i="6"/>
  <c r="Q197" i="6"/>
  <c r="P197" i="6"/>
  <c r="N197" i="6"/>
  <c r="M197" i="6"/>
  <c r="L197" i="6"/>
  <c r="D197" i="6"/>
  <c r="R196" i="6"/>
  <c r="Q196" i="6"/>
  <c r="P196" i="6"/>
  <c r="N196" i="6"/>
  <c r="M196" i="6"/>
  <c r="L196" i="6"/>
  <c r="D196" i="6"/>
  <c r="R195" i="6"/>
  <c r="Q195" i="6"/>
  <c r="P195" i="6"/>
  <c r="N195" i="6"/>
  <c r="M195" i="6"/>
  <c r="L195" i="6"/>
  <c r="D195" i="6"/>
  <c r="R194" i="6"/>
  <c r="Q194" i="6"/>
  <c r="P194" i="6"/>
  <c r="N194" i="6"/>
  <c r="M194" i="6"/>
  <c r="L194" i="6"/>
  <c r="D194" i="6"/>
  <c r="R193" i="6"/>
  <c r="Q193" i="6"/>
  <c r="P193" i="6"/>
  <c r="N193" i="6"/>
  <c r="M193" i="6"/>
  <c r="L193" i="6"/>
  <c r="D193" i="6"/>
  <c r="R192" i="6"/>
  <c r="Q192" i="6"/>
  <c r="P192" i="6"/>
  <c r="N192" i="6"/>
  <c r="M192" i="6"/>
  <c r="L192" i="6"/>
  <c r="D192" i="6"/>
  <c r="R191" i="6"/>
  <c r="Q191" i="6"/>
  <c r="P191" i="6"/>
  <c r="N191" i="6"/>
  <c r="M191" i="6"/>
  <c r="L191" i="6"/>
  <c r="D191" i="6"/>
  <c r="R190" i="6"/>
  <c r="Q190" i="6"/>
  <c r="P190" i="6"/>
  <c r="N190" i="6"/>
  <c r="M190" i="6"/>
  <c r="L190" i="6"/>
  <c r="D190" i="6"/>
  <c r="R189" i="6"/>
  <c r="Q189" i="6"/>
  <c r="P189" i="6"/>
  <c r="N189" i="6"/>
  <c r="M189" i="6"/>
  <c r="L189" i="6"/>
  <c r="D189" i="6"/>
  <c r="R188" i="6"/>
  <c r="Q188" i="6"/>
  <c r="P188" i="6"/>
  <c r="N188" i="6"/>
  <c r="M188" i="6"/>
  <c r="L188" i="6"/>
  <c r="D188" i="6"/>
  <c r="R187" i="6"/>
  <c r="Q187" i="6"/>
  <c r="P187" i="6"/>
  <c r="N187" i="6"/>
  <c r="M187" i="6"/>
  <c r="L187" i="6"/>
  <c r="D187" i="6"/>
  <c r="R186" i="6"/>
  <c r="Q186" i="6"/>
  <c r="P186" i="6"/>
  <c r="N186" i="6"/>
  <c r="M186" i="6"/>
  <c r="L186" i="6"/>
  <c r="D186" i="6"/>
  <c r="R185" i="6"/>
  <c r="Q185" i="6"/>
  <c r="P185" i="6"/>
  <c r="N185" i="6"/>
  <c r="M185" i="6"/>
  <c r="L185" i="6"/>
  <c r="D185" i="6"/>
  <c r="R184" i="6"/>
  <c r="Q184" i="6"/>
  <c r="P184" i="6"/>
  <c r="N184" i="6"/>
  <c r="M184" i="6"/>
  <c r="L184" i="6"/>
  <c r="D184" i="6"/>
  <c r="R183" i="6"/>
  <c r="Q183" i="6"/>
  <c r="P183" i="6"/>
  <c r="N183" i="6"/>
  <c r="M183" i="6"/>
  <c r="L183" i="6"/>
  <c r="D183" i="6"/>
  <c r="R182" i="6"/>
  <c r="Q182" i="6"/>
  <c r="P182" i="6"/>
  <c r="N182" i="6"/>
  <c r="M182" i="6"/>
  <c r="L182" i="6"/>
  <c r="D182" i="6"/>
  <c r="R181" i="6"/>
  <c r="Q181" i="6"/>
  <c r="P181" i="6"/>
  <c r="N181" i="6"/>
  <c r="M181" i="6"/>
  <c r="L181" i="6"/>
  <c r="D181" i="6"/>
  <c r="R180" i="6"/>
  <c r="Q180" i="6"/>
  <c r="P180" i="6"/>
  <c r="N180" i="6"/>
  <c r="M180" i="6"/>
  <c r="L180" i="6"/>
  <c r="D180" i="6"/>
  <c r="R179" i="6"/>
  <c r="Q179" i="6"/>
  <c r="P179" i="6"/>
  <c r="N179" i="6"/>
  <c r="M179" i="6"/>
  <c r="L179" i="6"/>
  <c r="D179" i="6"/>
  <c r="R178" i="6"/>
  <c r="Q178" i="6"/>
  <c r="P178" i="6"/>
  <c r="N178" i="6"/>
  <c r="M178" i="6"/>
  <c r="L178" i="6"/>
  <c r="D178" i="6"/>
  <c r="R177" i="6"/>
  <c r="Q177" i="6"/>
  <c r="P177" i="6"/>
  <c r="N177" i="6"/>
  <c r="M177" i="6"/>
  <c r="L177" i="6"/>
  <c r="D177" i="6"/>
  <c r="R176" i="6"/>
  <c r="Q176" i="6"/>
  <c r="P176" i="6"/>
  <c r="N176" i="6"/>
  <c r="M176" i="6"/>
  <c r="L176" i="6"/>
  <c r="D176" i="6"/>
  <c r="R175" i="6"/>
  <c r="Q175" i="6"/>
  <c r="P175" i="6"/>
  <c r="N175" i="6"/>
  <c r="M175" i="6"/>
  <c r="L175" i="6"/>
  <c r="D175" i="6"/>
  <c r="R174" i="6"/>
  <c r="Q174" i="6"/>
  <c r="P174" i="6"/>
  <c r="N174" i="6"/>
  <c r="M174" i="6"/>
  <c r="L174" i="6"/>
  <c r="D174" i="6"/>
  <c r="R173" i="6"/>
  <c r="Q173" i="6"/>
  <c r="P173" i="6"/>
  <c r="N173" i="6"/>
  <c r="M173" i="6"/>
  <c r="L173" i="6"/>
  <c r="D173" i="6"/>
  <c r="R172" i="6"/>
  <c r="Q172" i="6"/>
  <c r="P172" i="6"/>
  <c r="N172" i="6"/>
  <c r="M172" i="6"/>
  <c r="L172" i="6"/>
  <c r="D172" i="6"/>
  <c r="R171" i="6"/>
  <c r="Q171" i="6"/>
  <c r="P171" i="6"/>
  <c r="N171" i="6"/>
  <c r="M171" i="6"/>
  <c r="L171" i="6"/>
  <c r="D171" i="6"/>
  <c r="R170" i="6"/>
  <c r="Q170" i="6"/>
  <c r="P170" i="6"/>
  <c r="N170" i="6"/>
  <c r="M170" i="6"/>
  <c r="L170" i="6"/>
  <c r="D170" i="6"/>
  <c r="R169" i="6"/>
  <c r="Q169" i="6"/>
  <c r="P169" i="6"/>
  <c r="N169" i="6"/>
  <c r="M169" i="6"/>
  <c r="L169" i="6"/>
  <c r="D169" i="6"/>
  <c r="R168" i="6"/>
  <c r="Q168" i="6"/>
  <c r="P168" i="6"/>
  <c r="N168" i="6"/>
  <c r="M168" i="6"/>
  <c r="L168" i="6"/>
  <c r="D168" i="6"/>
  <c r="R167" i="6"/>
  <c r="Q167" i="6"/>
  <c r="P167" i="6"/>
  <c r="N167" i="6"/>
  <c r="M167" i="6"/>
  <c r="L167" i="6"/>
  <c r="D167" i="6"/>
  <c r="R166" i="6"/>
  <c r="Q166" i="6"/>
  <c r="P166" i="6"/>
  <c r="N166" i="6"/>
  <c r="M166" i="6"/>
  <c r="L166" i="6"/>
  <c r="D166" i="6"/>
  <c r="R165" i="6"/>
  <c r="Q165" i="6"/>
  <c r="P165" i="6"/>
  <c r="N165" i="6"/>
  <c r="M165" i="6"/>
  <c r="L165" i="6"/>
  <c r="D165" i="6"/>
  <c r="R164" i="6"/>
  <c r="Q164" i="6"/>
  <c r="P164" i="6"/>
  <c r="N164" i="6"/>
  <c r="M164" i="6"/>
  <c r="L164" i="6"/>
  <c r="D164" i="6"/>
  <c r="R163" i="6"/>
  <c r="Q163" i="6"/>
  <c r="P163" i="6"/>
  <c r="N163" i="6"/>
  <c r="M163" i="6"/>
  <c r="L163" i="6"/>
  <c r="D163" i="6"/>
  <c r="R162" i="6"/>
  <c r="Q162" i="6"/>
  <c r="P162" i="6"/>
  <c r="N162" i="6"/>
  <c r="M162" i="6"/>
  <c r="L162" i="6"/>
  <c r="D162" i="6"/>
  <c r="R161" i="6"/>
  <c r="Q161" i="6"/>
  <c r="P161" i="6"/>
  <c r="N161" i="6"/>
  <c r="M161" i="6"/>
  <c r="L161" i="6"/>
  <c r="D161" i="6"/>
  <c r="R160" i="6"/>
  <c r="Q160" i="6"/>
  <c r="P160" i="6"/>
  <c r="N160" i="6"/>
  <c r="M160" i="6"/>
  <c r="L160" i="6"/>
  <c r="D160" i="6"/>
  <c r="R159" i="6"/>
  <c r="Q159" i="6"/>
  <c r="P159" i="6"/>
  <c r="N159" i="6"/>
  <c r="M159" i="6"/>
  <c r="L159" i="6"/>
  <c r="D159" i="6"/>
  <c r="R158" i="6"/>
  <c r="Q158" i="6"/>
  <c r="P158" i="6"/>
  <c r="N158" i="6"/>
  <c r="M158" i="6"/>
  <c r="L158" i="6"/>
  <c r="D158" i="6"/>
  <c r="R157" i="6"/>
  <c r="Q157" i="6"/>
  <c r="P157" i="6"/>
  <c r="N157" i="6"/>
  <c r="M157" i="6"/>
  <c r="L157" i="6"/>
  <c r="D157" i="6"/>
  <c r="R156" i="6"/>
  <c r="Q156" i="6"/>
  <c r="P156" i="6"/>
  <c r="N156" i="6"/>
  <c r="M156" i="6"/>
  <c r="L156" i="6"/>
  <c r="D156" i="6"/>
  <c r="R155" i="6"/>
  <c r="Q155" i="6"/>
  <c r="P155" i="6"/>
  <c r="N155" i="6"/>
  <c r="M155" i="6"/>
  <c r="L155" i="6"/>
  <c r="D155" i="6"/>
  <c r="R154" i="6"/>
  <c r="Q154" i="6"/>
  <c r="P154" i="6"/>
  <c r="N154" i="6"/>
  <c r="M154" i="6"/>
  <c r="L154" i="6"/>
  <c r="D154" i="6"/>
  <c r="R153" i="6"/>
  <c r="Q153" i="6"/>
  <c r="P153" i="6"/>
  <c r="N153" i="6"/>
  <c r="M153" i="6"/>
  <c r="L153" i="6"/>
  <c r="D153" i="6"/>
  <c r="R152" i="6"/>
  <c r="Q152" i="6"/>
  <c r="P152" i="6"/>
  <c r="N152" i="6"/>
  <c r="M152" i="6"/>
  <c r="L152" i="6"/>
  <c r="D152" i="6"/>
  <c r="R151" i="6"/>
  <c r="Q151" i="6"/>
  <c r="P151" i="6"/>
  <c r="N151" i="6"/>
  <c r="M151" i="6"/>
  <c r="L151" i="6"/>
  <c r="D151" i="6"/>
  <c r="R150" i="6"/>
  <c r="Q150" i="6"/>
  <c r="P150" i="6"/>
  <c r="N150" i="6"/>
  <c r="M150" i="6"/>
  <c r="L150" i="6"/>
  <c r="D150" i="6"/>
  <c r="R149" i="6"/>
  <c r="Q149" i="6"/>
  <c r="P149" i="6"/>
  <c r="N149" i="6"/>
  <c r="M149" i="6"/>
  <c r="L149" i="6"/>
  <c r="D149" i="6"/>
  <c r="R148" i="6"/>
  <c r="Q148" i="6"/>
  <c r="P148" i="6"/>
  <c r="N148" i="6"/>
  <c r="M148" i="6"/>
  <c r="L148" i="6"/>
  <c r="D148" i="6"/>
  <c r="R147" i="6"/>
  <c r="Q147" i="6"/>
  <c r="P147" i="6"/>
  <c r="N147" i="6"/>
  <c r="M147" i="6"/>
  <c r="L147" i="6"/>
  <c r="D147" i="6"/>
  <c r="R146" i="6"/>
  <c r="Q146" i="6"/>
  <c r="P146" i="6"/>
  <c r="N146" i="6"/>
  <c r="M146" i="6"/>
  <c r="L146" i="6"/>
  <c r="D146" i="6"/>
  <c r="R145" i="6"/>
  <c r="Q145" i="6"/>
  <c r="P145" i="6"/>
  <c r="N145" i="6"/>
  <c r="M145" i="6"/>
  <c r="L145" i="6"/>
  <c r="D145" i="6"/>
  <c r="R144" i="6"/>
  <c r="Q144" i="6"/>
  <c r="P144" i="6"/>
  <c r="N144" i="6"/>
  <c r="M144" i="6"/>
  <c r="L144" i="6"/>
  <c r="D144" i="6"/>
  <c r="R143" i="6"/>
  <c r="Q143" i="6"/>
  <c r="P143" i="6"/>
  <c r="N143" i="6"/>
  <c r="M143" i="6"/>
  <c r="L143" i="6"/>
  <c r="D143" i="6"/>
  <c r="R142" i="6"/>
  <c r="Q142" i="6"/>
  <c r="P142" i="6"/>
  <c r="N142" i="6"/>
  <c r="M142" i="6"/>
  <c r="L142" i="6"/>
  <c r="D142" i="6"/>
  <c r="R141" i="6"/>
  <c r="Q141" i="6"/>
  <c r="P141" i="6"/>
  <c r="N141" i="6"/>
  <c r="M141" i="6"/>
  <c r="L141" i="6"/>
  <c r="D141" i="6"/>
  <c r="R140" i="6"/>
  <c r="Q140" i="6"/>
  <c r="P140" i="6"/>
  <c r="N140" i="6"/>
  <c r="M140" i="6"/>
  <c r="L140" i="6"/>
  <c r="D140" i="6"/>
  <c r="R139" i="6"/>
  <c r="Q139" i="6"/>
  <c r="P139" i="6"/>
  <c r="N139" i="6"/>
  <c r="M139" i="6"/>
  <c r="L139" i="6"/>
  <c r="D139" i="6"/>
  <c r="R138" i="6"/>
  <c r="Q138" i="6"/>
  <c r="P138" i="6"/>
  <c r="N138" i="6"/>
  <c r="M138" i="6"/>
  <c r="L138" i="6"/>
  <c r="D138" i="6"/>
  <c r="R137" i="6"/>
  <c r="Q137" i="6"/>
  <c r="P137" i="6"/>
  <c r="N137" i="6"/>
  <c r="M137" i="6"/>
  <c r="L137" i="6"/>
  <c r="D137" i="6"/>
  <c r="R136" i="6"/>
  <c r="Q136" i="6"/>
  <c r="P136" i="6"/>
  <c r="N136" i="6"/>
  <c r="M136" i="6"/>
  <c r="L136" i="6"/>
  <c r="D136" i="6"/>
  <c r="R135" i="6"/>
  <c r="Q135" i="6"/>
  <c r="P135" i="6"/>
  <c r="N135" i="6"/>
  <c r="M135" i="6"/>
  <c r="L135" i="6"/>
  <c r="D135" i="6"/>
  <c r="R134" i="6"/>
  <c r="Q134" i="6"/>
  <c r="P134" i="6"/>
  <c r="N134" i="6"/>
  <c r="M134" i="6"/>
  <c r="L134" i="6"/>
  <c r="D134" i="6"/>
  <c r="R133" i="6"/>
  <c r="Q133" i="6"/>
  <c r="P133" i="6"/>
  <c r="N133" i="6"/>
  <c r="M133" i="6"/>
  <c r="L133" i="6"/>
  <c r="D133" i="6"/>
  <c r="R132" i="6"/>
  <c r="Q132" i="6"/>
  <c r="P132" i="6"/>
  <c r="N132" i="6"/>
  <c r="M132" i="6"/>
  <c r="L132" i="6"/>
  <c r="D132" i="6"/>
  <c r="R131" i="6"/>
  <c r="Q131" i="6"/>
  <c r="P131" i="6"/>
  <c r="N131" i="6"/>
  <c r="M131" i="6"/>
  <c r="L131" i="6"/>
  <c r="D131" i="6"/>
  <c r="R130" i="6"/>
  <c r="Q130" i="6"/>
  <c r="P130" i="6"/>
  <c r="N130" i="6"/>
  <c r="M130" i="6"/>
  <c r="L130" i="6"/>
  <c r="D130" i="6"/>
  <c r="R129" i="6"/>
  <c r="Q129" i="6"/>
  <c r="P129" i="6"/>
  <c r="N129" i="6"/>
  <c r="M129" i="6"/>
  <c r="L129" i="6"/>
  <c r="D129" i="6"/>
  <c r="R128" i="6"/>
  <c r="Q128" i="6"/>
  <c r="P128" i="6"/>
  <c r="N128" i="6"/>
  <c r="M128" i="6"/>
  <c r="L128" i="6"/>
  <c r="D128" i="6"/>
  <c r="R127" i="6"/>
  <c r="Q127" i="6"/>
  <c r="P127" i="6"/>
  <c r="N127" i="6"/>
  <c r="M127" i="6"/>
  <c r="L127" i="6"/>
  <c r="D127" i="6"/>
  <c r="R126" i="6"/>
  <c r="Q126" i="6"/>
  <c r="P126" i="6"/>
  <c r="N126" i="6"/>
  <c r="M126" i="6"/>
  <c r="L126" i="6"/>
  <c r="D126" i="6"/>
  <c r="R125" i="6"/>
  <c r="Q125" i="6"/>
  <c r="P125" i="6"/>
  <c r="N125" i="6"/>
  <c r="M125" i="6"/>
  <c r="L125" i="6"/>
  <c r="D125" i="6"/>
  <c r="R124" i="6"/>
  <c r="Q124" i="6"/>
  <c r="P124" i="6"/>
  <c r="N124" i="6"/>
  <c r="M124" i="6"/>
  <c r="L124" i="6"/>
  <c r="D124" i="6"/>
  <c r="R123" i="6"/>
  <c r="Q123" i="6"/>
  <c r="P123" i="6"/>
  <c r="N123" i="6"/>
  <c r="M123" i="6"/>
  <c r="L123" i="6"/>
  <c r="D123" i="6"/>
  <c r="R122" i="6"/>
  <c r="Q122" i="6"/>
  <c r="P122" i="6"/>
  <c r="N122" i="6"/>
  <c r="M122" i="6"/>
  <c r="L122" i="6"/>
  <c r="D122" i="6"/>
  <c r="R121" i="6"/>
  <c r="Q121" i="6"/>
  <c r="P121" i="6"/>
  <c r="N121" i="6"/>
  <c r="M121" i="6"/>
  <c r="L121" i="6"/>
  <c r="D121" i="6"/>
  <c r="R120" i="6"/>
  <c r="Q120" i="6"/>
  <c r="P120" i="6"/>
  <c r="N120" i="6"/>
  <c r="M120" i="6"/>
  <c r="L120" i="6"/>
  <c r="D120" i="6"/>
  <c r="R119" i="6"/>
  <c r="Q119" i="6"/>
  <c r="P119" i="6"/>
  <c r="N119" i="6"/>
  <c r="M119" i="6"/>
  <c r="L119" i="6"/>
  <c r="D119" i="6"/>
  <c r="R118" i="6"/>
  <c r="Q118" i="6"/>
  <c r="P118" i="6"/>
  <c r="N118" i="6"/>
  <c r="M118" i="6"/>
  <c r="L118" i="6"/>
  <c r="D118" i="6"/>
  <c r="R117" i="6"/>
  <c r="Q117" i="6"/>
  <c r="P117" i="6"/>
  <c r="N117" i="6"/>
  <c r="M117" i="6"/>
  <c r="L117" i="6"/>
  <c r="D117" i="6"/>
  <c r="R116" i="6"/>
  <c r="Q116" i="6"/>
  <c r="P116" i="6"/>
  <c r="N116" i="6"/>
  <c r="M116" i="6"/>
  <c r="L116" i="6"/>
  <c r="E116" i="6"/>
  <c r="D116" i="6"/>
  <c r="R115" i="6"/>
  <c r="Q115" i="6"/>
  <c r="P115" i="6"/>
  <c r="N115" i="6"/>
  <c r="M115" i="6"/>
  <c r="L115" i="6"/>
  <c r="E115" i="6"/>
  <c r="D115" i="6"/>
  <c r="R114" i="6"/>
  <c r="Q114" i="6"/>
  <c r="P114" i="6"/>
  <c r="N114" i="6"/>
  <c r="M114" i="6"/>
  <c r="L114" i="6"/>
  <c r="E114" i="6"/>
  <c r="D114" i="6"/>
  <c r="R113" i="6"/>
  <c r="Q113" i="6"/>
  <c r="P113" i="6"/>
  <c r="N113" i="6"/>
  <c r="M113" i="6"/>
  <c r="L113" i="6"/>
  <c r="E113" i="6"/>
  <c r="D113" i="6"/>
  <c r="R112" i="6"/>
  <c r="Q112" i="6"/>
  <c r="P112" i="6"/>
  <c r="N112" i="6"/>
  <c r="M112" i="6"/>
  <c r="L112" i="6"/>
  <c r="E112" i="6"/>
  <c r="D112" i="6"/>
  <c r="R111" i="6"/>
  <c r="Q111" i="6"/>
  <c r="P111" i="6"/>
  <c r="N111" i="6"/>
  <c r="M111" i="6"/>
  <c r="L111" i="6"/>
  <c r="E111" i="6"/>
  <c r="D111" i="6"/>
  <c r="R110" i="6"/>
  <c r="Q110" i="6"/>
  <c r="P110" i="6"/>
  <c r="N110" i="6"/>
  <c r="M110" i="6"/>
  <c r="L110" i="6"/>
  <c r="E110" i="6"/>
  <c r="D110" i="6"/>
  <c r="R109" i="6"/>
  <c r="Q109" i="6"/>
  <c r="P109" i="6"/>
  <c r="N109" i="6"/>
  <c r="M109" i="6"/>
  <c r="L109" i="6"/>
  <c r="E109" i="6"/>
  <c r="D109" i="6"/>
  <c r="R108" i="6"/>
  <c r="Q108" i="6"/>
  <c r="P108" i="6"/>
  <c r="N108" i="6"/>
  <c r="M108" i="6"/>
  <c r="L108" i="6"/>
  <c r="E108" i="6"/>
  <c r="D108" i="6"/>
  <c r="R107" i="6"/>
  <c r="Q107" i="6"/>
  <c r="P107" i="6"/>
  <c r="N107" i="6"/>
  <c r="M107" i="6"/>
  <c r="L107" i="6"/>
  <c r="E107" i="6"/>
  <c r="D107" i="6"/>
  <c r="R106" i="6"/>
  <c r="Q106" i="6"/>
  <c r="P106" i="6"/>
  <c r="N106" i="6"/>
  <c r="M106" i="6"/>
  <c r="L106" i="6"/>
  <c r="E106" i="6"/>
  <c r="D106" i="6"/>
  <c r="R105" i="6"/>
  <c r="Q105" i="6"/>
  <c r="P105" i="6"/>
  <c r="N105" i="6"/>
  <c r="M105" i="6"/>
  <c r="L105" i="6"/>
  <c r="E105" i="6"/>
  <c r="D105" i="6"/>
  <c r="R104" i="6"/>
  <c r="Q104" i="6"/>
  <c r="P104" i="6"/>
  <c r="N104" i="6"/>
  <c r="M104" i="6"/>
  <c r="L104" i="6"/>
  <c r="E104" i="6"/>
  <c r="D104" i="6"/>
  <c r="R103" i="6"/>
  <c r="Q103" i="6"/>
  <c r="P103" i="6"/>
  <c r="N103" i="6"/>
  <c r="M103" i="6"/>
  <c r="L103" i="6"/>
  <c r="E103" i="6"/>
  <c r="D103" i="6"/>
  <c r="R102" i="6"/>
  <c r="Q102" i="6"/>
  <c r="P102" i="6"/>
  <c r="N102" i="6"/>
  <c r="M102" i="6"/>
  <c r="L102" i="6"/>
  <c r="E102" i="6"/>
  <c r="D102" i="6"/>
  <c r="R101" i="6"/>
  <c r="Q101" i="6"/>
  <c r="P101" i="6"/>
  <c r="N101" i="6"/>
  <c r="M101" i="6"/>
  <c r="L101" i="6"/>
  <c r="E101" i="6"/>
  <c r="D101" i="6"/>
  <c r="R100" i="6"/>
  <c r="Q100" i="6"/>
  <c r="P100" i="6"/>
  <c r="N100" i="6"/>
  <c r="M100" i="6"/>
  <c r="L100" i="6"/>
  <c r="E100" i="6"/>
  <c r="D100" i="6"/>
  <c r="R99" i="6"/>
  <c r="Q99" i="6"/>
  <c r="P99" i="6"/>
  <c r="N99" i="6"/>
  <c r="M99" i="6"/>
  <c r="L99" i="6"/>
  <c r="E99" i="6"/>
  <c r="D99" i="6"/>
  <c r="R98" i="6"/>
  <c r="Q98" i="6"/>
  <c r="P98" i="6"/>
  <c r="N98" i="6"/>
  <c r="M98" i="6"/>
  <c r="L98" i="6"/>
  <c r="E98" i="6"/>
  <c r="D98" i="6"/>
  <c r="R97" i="6"/>
  <c r="Q97" i="6"/>
  <c r="P97" i="6"/>
  <c r="N97" i="6"/>
  <c r="M97" i="6"/>
  <c r="L97" i="6"/>
  <c r="E97" i="6"/>
  <c r="D97" i="6"/>
  <c r="R96" i="6"/>
  <c r="Q96" i="6"/>
  <c r="P96" i="6"/>
  <c r="N96" i="6"/>
  <c r="M96" i="6"/>
  <c r="L96" i="6"/>
  <c r="E96" i="6"/>
  <c r="D96" i="6"/>
  <c r="R95" i="6"/>
  <c r="Q95" i="6"/>
  <c r="P95" i="6"/>
  <c r="N95" i="6"/>
  <c r="M95" i="6"/>
  <c r="L95" i="6"/>
  <c r="E95" i="6"/>
  <c r="D95" i="6"/>
  <c r="R94" i="6"/>
  <c r="Q94" i="6"/>
  <c r="P94" i="6"/>
  <c r="N94" i="6"/>
  <c r="M94" i="6"/>
  <c r="L94" i="6"/>
  <c r="E94" i="6"/>
  <c r="D94" i="6"/>
  <c r="R93" i="6"/>
  <c r="Q93" i="6"/>
  <c r="P93" i="6"/>
  <c r="N93" i="6"/>
  <c r="M93" i="6"/>
  <c r="L93" i="6"/>
  <c r="E93" i="6"/>
  <c r="D93" i="6"/>
  <c r="R92" i="6"/>
  <c r="Q92" i="6"/>
  <c r="P92" i="6"/>
  <c r="N92" i="6"/>
  <c r="M92" i="6"/>
  <c r="L92" i="6"/>
  <c r="E92" i="6"/>
  <c r="D92" i="6"/>
  <c r="R91" i="6"/>
  <c r="Q91" i="6"/>
  <c r="P91" i="6"/>
  <c r="N91" i="6"/>
  <c r="M91" i="6"/>
  <c r="L91" i="6"/>
  <c r="E91" i="6"/>
  <c r="D91" i="6"/>
  <c r="R90" i="6"/>
  <c r="Q90" i="6"/>
  <c r="P90" i="6"/>
  <c r="N90" i="6"/>
  <c r="M90" i="6"/>
  <c r="L90" i="6"/>
  <c r="E90" i="6"/>
  <c r="D90" i="6"/>
  <c r="R89" i="6"/>
  <c r="Q89" i="6"/>
  <c r="P89" i="6"/>
  <c r="N89" i="6"/>
  <c r="M89" i="6"/>
  <c r="L89" i="6"/>
  <c r="E89" i="6"/>
  <c r="D89" i="6"/>
  <c r="R88" i="6"/>
  <c r="Q88" i="6"/>
  <c r="P88" i="6"/>
  <c r="N88" i="6"/>
  <c r="M88" i="6"/>
  <c r="L88" i="6"/>
  <c r="E88" i="6"/>
  <c r="D88" i="6"/>
  <c r="R87" i="6"/>
  <c r="Q87" i="6"/>
  <c r="P87" i="6"/>
  <c r="N87" i="6"/>
  <c r="M87" i="6"/>
  <c r="L87" i="6"/>
  <c r="E87" i="6"/>
  <c r="D87" i="6"/>
  <c r="R86" i="6"/>
  <c r="Q86" i="6"/>
  <c r="P86" i="6"/>
  <c r="N86" i="6"/>
  <c r="M86" i="6"/>
  <c r="L86" i="6"/>
  <c r="E86" i="6"/>
  <c r="D86" i="6"/>
  <c r="R85" i="6"/>
  <c r="Q85" i="6"/>
  <c r="P85" i="6"/>
  <c r="N85" i="6"/>
  <c r="M85" i="6"/>
  <c r="L85" i="6"/>
  <c r="E85" i="6"/>
  <c r="D85" i="6"/>
  <c r="R84" i="6"/>
  <c r="Q84" i="6"/>
  <c r="P84" i="6"/>
  <c r="N84" i="6"/>
  <c r="M84" i="6"/>
  <c r="L84" i="6"/>
  <c r="E84" i="6"/>
  <c r="D84" i="6"/>
  <c r="R83" i="6"/>
  <c r="Q83" i="6"/>
  <c r="P83" i="6"/>
  <c r="N83" i="6"/>
  <c r="M83" i="6"/>
  <c r="L83" i="6"/>
  <c r="E83" i="6"/>
  <c r="D83" i="6"/>
  <c r="R82" i="6"/>
  <c r="Q82" i="6"/>
  <c r="P82" i="6"/>
  <c r="N82" i="6"/>
  <c r="M82" i="6"/>
  <c r="L82" i="6"/>
  <c r="E82" i="6"/>
  <c r="D82" i="6"/>
  <c r="R81" i="6"/>
  <c r="Q81" i="6"/>
  <c r="P81" i="6"/>
  <c r="N81" i="6"/>
  <c r="M81" i="6"/>
  <c r="L81" i="6"/>
  <c r="E81" i="6"/>
  <c r="D81" i="6"/>
  <c r="R80" i="6"/>
  <c r="Q80" i="6"/>
  <c r="P80" i="6"/>
  <c r="N80" i="6"/>
  <c r="M80" i="6"/>
  <c r="L80" i="6"/>
  <c r="E80" i="6"/>
  <c r="D80" i="6"/>
  <c r="R79" i="6"/>
  <c r="Q79" i="6"/>
  <c r="P79" i="6"/>
  <c r="N79" i="6"/>
  <c r="M79" i="6"/>
  <c r="L79" i="6"/>
  <c r="E79" i="6"/>
  <c r="D79" i="6"/>
  <c r="R78" i="6"/>
  <c r="Q78" i="6"/>
  <c r="P78" i="6"/>
  <c r="N78" i="6"/>
  <c r="M78" i="6"/>
  <c r="L78" i="6"/>
  <c r="E78" i="6"/>
  <c r="D78" i="6"/>
  <c r="R77" i="6"/>
  <c r="Q77" i="6"/>
  <c r="P77" i="6"/>
  <c r="N77" i="6"/>
  <c r="M77" i="6"/>
  <c r="L77" i="6"/>
  <c r="E77" i="6"/>
  <c r="D77" i="6"/>
  <c r="R76" i="6"/>
  <c r="Q76" i="6"/>
  <c r="P76" i="6"/>
  <c r="N76" i="6"/>
  <c r="M76" i="6"/>
  <c r="L76" i="6"/>
  <c r="E76" i="6"/>
  <c r="D76" i="6"/>
  <c r="R75" i="6"/>
  <c r="Q75" i="6"/>
  <c r="P75" i="6"/>
  <c r="N75" i="6"/>
  <c r="M75" i="6"/>
  <c r="L75" i="6"/>
  <c r="E75" i="6"/>
  <c r="D75" i="6"/>
  <c r="R74" i="6"/>
  <c r="Q74" i="6"/>
  <c r="P74" i="6"/>
  <c r="N74" i="6"/>
  <c r="M74" i="6"/>
  <c r="L74" i="6"/>
  <c r="E74" i="6"/>
  <c r="D74" i="6"/>
  <c r="R73" i="6"/>
  <c r="Q73" i="6"/>
  <c r="P73" i="6"/>
  <c r="N73" i="6"/>
  <c r="M73" i="6"/>
  <c r="L73" i="6"/>
  <c r="E73" i="6"/>
  <c r="D73" i="6"/>
  <c r="R72" i="6"/>
  <c r="Q72" i="6"/>
  <c r="P72" i="6"/>
  <c r="N72" i="6"/>
  <c r="M72" i="6"/>
  <c r="L72" i="6"/>
  <c r="E72" i="6"/>
  <c r="D72" i="6"/>
  <c r="R71" i="6"/>
  <c r="Q71" i="6"/>
  <c r="P71" i="6"/>
  <c r="N71" i="6"/>
  <c r="M71" i="6"/>
  <c r="L71" i="6"/>
  <c r="E71" i="6"/>
  <c r="D71" i="6"/>
  <c r="R70" i="6"/>
  <c r="Q70" i="6"/>
  <c r="P70" i="6"/>
  <c r="N70" i="6"/>
  <c r="M70" i="6"/>
  <c r="L70" i="6"/>
  <c r="E70" i="6"/>
  <c r="D70" i="6"/>
  <c r="R69" i="6"/>
  <c r="Q69" i="6"/>
  <c r="P69" i="6"/>
  <c r="N69" i="6"/>
  <c r="M69" i="6"/>
  <c r="L69" i="6"/>
  <c r="E69" i="6"/>
  <c r="D69" i="6"/>
  <c r="R68" i="6"/>
  <c r="Q68" i="6"/>
  <c r="P68" i="6"/>
  <c r="N68" i="6"/>
  <c r="M68" i="6"/>
  <c r="L68" i="6"/>
  <c r="E68" i="6"/>
  <c r="D68" i="6"/>
  <c r="R67" i="6"/>
  <c r="Q67" i="6"/>
  <c r="P67" i="6"/>
  <c r="N67" i="6"/>
  <c r="M67" i="6"/>
  <c r="L67" i="6"/>
  <c r="E67" i="6"/>
  <c r="D67" i="6"/>
  <c r="R66" i="6"/>
  <c r="Q66" i="6"/>
  <c r="P66" i="6"/>
  <c r="N66" i="6"/>
  <c r="M66" i="6"/>
  <c r="L66" i="6"/>
  <c r="E66" i="6"/>
  <c r="D66" i="6"/>
  <c r="R65" i="6"/>
  <c r="Q65" i="6"/>
  <c r="P65" i="6"/>
  <c r="N65" i="6"/>
  <c r="M65" i="6"/>
  <c r="L65" i="6"/>
  <c r="E65" i="6"/>
  <c r="D65" i="6"/>
  <c r="R64" i="6"/>
  <c r="Q64" i="6"/>
  <c r="P64" i="6"/>
  <c r="N64" i="6"/>
  <c r="M64" i="6"/>
  <c r="L64" i="6"/>
  <c r="E64" i="6"/>
  <c r="D64" i="6"/>
  <c r="R63" i="6"/>
  <c r="Q63" i="6"/>
  <c r="P63" i="6"/>
  <c r="N63" i="6"/>
  <c r="M63" i="6"/>
  <c r="L63" i="6"/>
  <c r="E63" i="6"/>
  <c r="D63" i="6"/>
  <c r="R62" i="6"/>
  <c r="Q62" i="6"/>
  <c r="P62" i="6"/>
  <c r="N62" i="6"/>
  <c r="M62" i="6"/>
  <c r="L62" i="6"/>
  <c r="E62" i="6"/>
  <c r="D62" i="6"/>
  <c r="R61" i="6"/>
  <c r="Q61" i="6"/>
  <c r="P61" i="6"/>
  <c r="N61" i="6"/>
  <c r="M61" i="6"/>
  <c r="L61" i="6"/>
  <c r="E61" i="6"/>
  <c r="D61" i="6"/>
  <c r="R60" i="6"/>
  <c r="Q60" i="6"/>
  <c r="P60" i="6"/>
  <c r="N60" i="6"/>
  <c r="M60" i="6"/>
  <c r="L60" i="6"/>
  <c r="E60" i="6"/>
  <c r="D60" i="6"/>
  <c r="R59" i="6"/>
  <c r="Q59" i="6"/>
  <c r="P59" i="6"/>
  <c r="N59" i="6"/>
  <c r="M59" i="6"/>
  <c r="L59" i="6"/>
  <c r="E59" i="6"/>
  <c r="D59" i="6"/>
  <c r="R58" i="6"/>
  <c r="Q58" i="6"/>
  <c r="P58" i="6"/>
  <c r="N58" i="6"/>
  <c r="M58" i="6"/>
  <c r="L58" i="6"/>
  <c r="E58" i="6"/>
  <c r="D58" i="6"/>
  <c r="R57" i="6"/>
  <c r="Q57" i="6"/>
  <c r="P57" i="6"/>
  <c r="N57" i="6"/>
  <c r="M57" i="6"/>
  <c r="L57" i="6"/>
  <c r="E57" i="6"/>
  <c r="D57" i="6"/>
  <c r="R56" i="6"/>
  <c r="Q56" i="6"/>
  <c r="P56" i="6"/>
  <c r="N56" i="6"/>
  <c r="M56" i="6"/>
  <c r="L56" i="6"/>
  <c r="E56" i="6"/>
  <c r="D56" i="6"/>
  <c r="R55" i="6"/>
  <c r="Q55" i="6"/>
  <c r="P55" i="6"/>
  <c r="N55" i="6"/>
  <c r="M55" i="6"/>
  <c r="L55" i="6"/>
  <c r="E55" i="6"/>
  <c r="D55" i="6"/>
  <c r="R54" i="6"/>
  <c r="Q54" i="6"/>
  <c r="P54" i="6"/>
  <c r="N54" i="6"/>
  <c r="M54" i="6"/>
  <c r="L54" i="6"/>
  <c r="E54" i="6"/>
  <c r="D54" i="6"/>
  <c r="R53" i="6"/>
  <c r="Q53" i="6"/>
  <c r="P53" i="6"/>
  <c r="N53" i="6"/>
  <c r="M53" i="6"/>
  <c r="L53" i="6"/>
  <c r="E53" i="6"/>
  <c r="D53" i="6"/>
  <c r="R52" i="6"/>
  <c r="Q52" i="6"/>
  <c r="P52" i="6"/>
  <c r="N52" i="6"/>
  <c r="M52" i="6"/>
  <c r="L52" i="6"/>
  <c r="E52" i="6"/>
  <c r="D52" i="6"/>
  <c r="R51" i="6"/>
  <c r="Q51" i="6"/>
  <c r="P51" i="6"/>
  <c r="N51" i="6"/>
  <c r="M51" i="6"/>
  <c r="L51" i="6"/>
  <c r="E51" i="6"/>
  <c r="D51" i="6"/>
  <c r="R50" i="6"/>
  <c r="Q50" i="6"/>
  <c r="P50" i="6"/>
  <c r="N50" i="6"/>
  <c r="M50" i="6"/>
  <c r="L50" i="6"/>
  <c r="E50" i="6"/>
  <c r="D50" i="6"/>
  <c r="R49" i="6"/>
  <c r="Q49" i="6"/>
  <c r="P49" i="6"/>
  <c r="N49" i="6"/>
  <c r="M49" i="6"/>
  <c r="L49" i="6"/>
  <c r="E49" i="6"/>
  <c r="D49" i="6"/>
  <c r="R48" i="6"/>
  <c r="Q48" i="6"/>
  <c r="P48" i="6"/>
  <c r="N48" i="6"/>
  <c r="M48" i="6"/>
  <c r="L48" i="6"/>
  <c r="E48" i="6"/>
  <c r="D48" i="6"/>
  <c r="R47" i="6"/>
  <c r="Q47" i="6"/>
  <c r="P47" i="6"/>
  <c r="N47" i="6"/>
  <c r="M47" i="6"/>
  <c r="L47" i="6"/>
  <c r="E47" i="6"/>
  <c r="D47" i="6"/>
  <c r="R46" i="6"/>
  <c r="Q46" i="6"/>
  <c r="P46" i="6"/>
  <c r="N46" i="6"/>
  <c r="M46" i="6"/>
  <c r="L46" i="6"/>
  <c r="E46" i="6"/>
  <c r="D46" i="6"/>
  <c r="R45" i="6"/>
  <c r="Q45" i="6"/>
  <c r="P45" i="6"/>
  <c r="N45" i="6"/>
  <c r="M45" i="6"/>
  <c r="L45" i="6"/>
  <c r="E45" i="6"/>
  <c r="D45" i="6"/>
  <c r="R44" i="6"/>
  <c r="Q44" i="6"/>
  <c r="P44" i="6"/>
  <c r="N44" i="6"/>
  <c r="M44" i="6"/>
  <c r="L44" i="6"/>
  <c r="E44" i="6"/>
  <c r="D44" i="6"/>
  <c r="R43" i="6"/>
  <c r="Q43" i="6"/>
  <c r="P43" i="6"/>
  <c r="N43" i="6"/>
  <c r="M43" i="6"/>
  <c r="L43" i="6"/>
  <c r="E43" i="6"/>
  <c r="D43" i="6"/>
  <c r="R42" i="6"/>
  <c r="Q42" i="6"/>
  <c r="P42" i="6"/>
  <c r="N42" i="6"/>
  <c r="M42" i="6"/>
  <c r="L42" i="6"/>
  <c r="E42" i="6"/>
  <c r="D42" i="6"/>
  <c r="R41" i="6"/>
  <c r="Q41" i="6"/>
  <c r="P41" i="6"/>
  <c r="N41" i="6"/>
  <c r="M41" i="6"/>
  <c r="L41" i="6"/>
  <c r="E41" i="6"/>
  <c r="D41" i="6"/>
  <c r="R40" i="6"/>
  <c r="Q40" i="6"/>
  <c r="P40" i="6"/>
  <c r="N40" i="6"/>
  <c r="M40" i="6"/>
  <c r="L40" i="6"/>
  <c r="E40" i="6"/>
  <c r="D40" i="6"/>
  <c r="R39" i="6"/>
  <c r="Q39" i="6"/>
  <c r="P39" i="6"/>
  <c r="N39" i="6"/>
  <c r="M39" i="6"/>
  <c r="L39" i="6"/>
  <c r="E39" i="6"/>
  <c r="D39" i="6"/>
  <c r="R38" i="6"/>
  <c r="Q38" i="6"/>
  <c r="P38" i="6"/>
  <c r="N38" i="6"/>
  <c r="M38" i="6"/>
  <c r="L38" i="6"/>
  <c r="E38" i="6"/>
  <c r="D38" i="6"/>
  <c r="R37" i="6"/>
  <c r="Q37" i="6"/>
  <c r="P37" i="6"/>
  <c r="N37" i="6"/>
  <c r="M37" i="6"/>
  <c r="L37" i="6"/>
  <c r="E37" i="6"/>
  <c r="D37" i="6"/>
  <c r="R36" i="6"/>
  <c r="Q36" i="6"/>
  <c r="P36" i="6"/>
  <c r="N36" i="6"/>
  <c r="M36" i="6"/>
  <c r="L36" i="6"/>
  <c r="E36" i="6"/>
  <c r="D36" i="6"/>
  <c r="R35" i="6"/>
  <c r="Q35" i="6"/>
  <c r="P35" i="6"/>
  <c r="N35" i="6"/>
  <c r="M35" i="6"/>
  <c r="L35" i="6"/>
  <c r="E35" i="6"/>
  <c r="D35" i="6"/>
  <c r="R34" i="6"/>
  <c r="Q34" i="6"/>
  <c r="P34" i="6"/>
  <c r="N34" i="6"/>
  <c r="M34" i="6"/>
  <c r="L34" i="6"/>
  <c r="E34" i="6"/>
  <c r="D34" i="6"/>
  <c r="R33" i="6"/>
  <c r="Q33" i="6"/>
  <c r="P33" i="6"/>
  <c r="N33" i="6"/>
  <c r="M33" i="6"/>
  <c r="L33" i="6"/>
  <c r="E33" i="6"/>
  <c r="D33" i="6"/>
  <c r="R32" i="6"/>
  <c r="Q32" i="6"/>
  <c r="P32" i="6"/>
  <c r="N32" i="6"/>
  <c r="M32" i="6"/>
  <c r="L32" i="6"/>
  <c r="E32" i="6"/>
  <c r="D32" i="6"/>
  <c r="R31" i="6"/>
  <c r="Q31" i="6"/>
  <c r="P31" i="6"/>
  <c r="N31" i="6"/>
  <c r="M31" i="6"/>
  <c r="L31" i="6"/>
  <c r="E31" i="6"/>
  <c r="D31" i="6"/>
  <c r="R30" i="6"/>
  <c r="Q30" i="6"/>
  <c r="P30" i="6"/>
  <c r="N30" i="6"/>
  <c r="M30" i="6"/>
  <c r="L30" i="6"/>
  <c r="E30" i="6"/>
  <c r="D30" i="6"/>
  <c r="R29" i="6"/>
  <c r="Q29" i="6"/>
  <c r="P29" i="6"/>
  <c r="N29" i="6"/>
  <c r="M29" i="6"/>
  <c r="L29" i="6"/>
  <c r="E29" i="6"/>
  <c r="D29" i="6"/>
  <c r="R28" i="6"/>
  <c r="Q28" i="6"/>
  <c r="P28" i="6"/>
  <c r="N28" i="6"/>
  <c r="M28" i="6"/>
  <c r="L28" i="6"/>
  <c r="E28" i="6"/>
  <c r="D28" i="6"/>
  <c r="R27" i="6"/>
  <c r="Q27" i="6"/>
  <c r="P27" i="6"/>
  <c r="N27" i="6"/>
  <c r="M27" i="6"/>
  <c r="L27" i="6"/>
  <c r="E27" i="6"/>
  <c r="D27" i="6"/>
  <c r="R26" i="6"/>
  <c r="Q26" i="6"/>
  <c r="P26" i="6"/>
  <c r="N26" i="6"/>
  <c r="M26" i="6"/>
  <c r="L26" i="6"/>
  <c r="E26" i="6"/>
  <c r="D26" i="6"/>
  <c r="R25" i="6"/>
  <c r="Q25" i="6"/>
  <c r="P25" i="6"/>
  <c r="N25" i="6"/>
  <c r="M25" i="6"/>
  <c r="L25" i="6"/>
  <c r="E25" i="6"/>
  <c r="D25" i="6"/>
  <c r="R24" i="6"/>
  <c r="Q24" i="6"/>
  <c r="P24" i="6"/>
  <c r="N24" i="6"/>
  <c r="M24" i="6"/>
  <c r="L24" i="6"/>
  <c r="E24" i="6"/>
  <c r="D24" i="6"/>
  <c r="R23" i="6"/>
  <c r="Q23" i="6"/>
  <c r="P23" i="6"/>
  <c r="N23" i="6"/>
  <c r="M23" i="6"/>
  <c r="L23" i="6"/>
  <c r="E23" i="6"/>
  <c r="D23" i="6"/>
  <c r="R22" i="6"/>
  <c r="Q22" i="6"/>
  <c r="P22" i="6"/>
  <c r="N22" i="6"/>
  <c r="M22" i="6"/>
  <c r="L22" i="6"/>
  <c r="E22" i="6"/>
  <c r="D22" i="6"/>
  <c r="R21" i="6"/>
  <c r="Q21" i="6"/>
  <c r="P21" i="6"/>
  <c r="N21" i="6"/>
  <c r="M21" i="6"/>
  <c r="L21" i="6"/>
  <c r="E21" i="6"/>
  <c r="D21" i="6"/>
  <c r="R20" i="6"/>
  <c r="Q20" i="6"/>
  <c r="P20" i="6"/>
  <c r="N20" i="6"/>
  <c r="M20" i="6"/>
  <c r="L20" i="6"/>
  <c r="E20" i="6"/>
  <c r="D20" i="6"/>
  <c r="R19" i="6"/>
  <c r="Q19" i="6"/>
  <c r="P19" i="6"/>
  <c r="N19" i="6"/>
  <c r="M19" i="6"/>
  <c r="L19" i="6"/>
  <c r="E19" i="6"/>
  <c r="D19" i="6"/>
  <c r="R18" i="6"/>
  <c r="Q18" i="6"/>
  <c r="P18" i="6"/>
  <c r="N18" i="6"/>
  <c r="M18" i="6"/>
  <c r="L18" i="6"/>
  <c r="E18" i="6"/>
  <c r="D18" i="6"/>
  <c r="R17" i="6"/>
  <c r="Q17" i="6"/>
  <c r="P17" i="6"/>
  <c r="N17" i="6"/>
  <c r="M17" i="6"/>
  <c r="L17" i="6"/>
  <c r="E17" i="6"/>
  <c r="D17" i="6"/>
  <c r="R16" i="6"/>
  <c r="Q16" i="6"/>
  <c r="P16" i="6"/>
  <c r="N16" i="6"/>
  <c r="M16" i="6"/>
  <c r="L16" i="6"/>
  <c r="E16" i="6"/>
  <c r="D16" i="6"/>
  <c r="R15" i="6"/>
  <c r="Q15" i="6"/>
  <c r="P15" i="6"/>
  <c r="N15" i="6"/>
  <c r="M15" i="6"/>
  <c r="L15" i="6"/>
  <c r="E15" i="6"/>
  <c r="D15" i="6"/>
  <c r="R14" i="6"/>
  <c r="Q14" i="6"/>
  <c r="P14" i="6"/>
  <c r="N14" i="6"/>
  <c r="M14" i="6"/>
  <c r="L14" i="6"/>
  <c r="E14" i="6"/>
  <c r="D14" i="6"/>
  <c r="R13" i="6"/>
  <c r="Q13" i="6"/>
  <c r="P13" i="6"/>
  <c r="N13" i="6"/>
  <c r="M13" i="6"/>
  <c r="L13" i="6"/>
  <c r="E13" i="6"/>
  <c r="D13" i="6"/>
  <c r="R12" i="6"/>
  <c r="Q12" i="6"/>
  <c r="P12" i="6"/>
  <c r="N12" i="6"/>
  <c r="M12" i="6"/>
  <c r="L12" i="6"/>
  <c r="E12" i="6"/>
  <c r="D12" i="6"/>
  <c r="R11" i="6"/>
  <c r="Q11" i="6"/>
  <c r="P11" i="6"/>
  <c r="N11" i="6"/>
  <c r="M11" i="6"/>
  <c r="L11" i="6"/>
  <c r="E11" i="6"/>
  <c r="D11" i="6"/>
  <c r="R10" i="6"/>
  <c r="Q10" i="6"/>
  <c r="P10" i="6"/>
  <c r="N10" i="6"/>
  <c r="M10" i="6"/>
  <c r="L10" i="6"/>
  <c r="E10" i="6"/>
  <c r="D10" i="6"/>
  <c r="R9" i="6"/>
  <c r="Q9" i="6"/>
  <c r="P9" i="6"/>
  <c r="N9" i="6"/>
  <c r="M9" i="6"/>
  <c r="L9" i="6"/>
  <c r="E9" i="6"/>
  <c r="D9" i="6"/>
  <c r="R8" i="6"/>
  <c r="Q8" i="6"/>
  <c r="P8" i="6"/>
  <c r="N8" i="6"/>
  <c r="M8" i="6"/>
  <c r="L8" i="6"/>
  <c r="E8" i="6"/>
  <c r="D8" i="6"/>
  <c r="R7" i="6"/>
  <c r="Q7" i="6"/>
  <c r="P7" i="6"/>
  <c r="N7" i="6"/>
  <c r="M7" i="6"/>
  <c r="L7" i="6"/>
  <c r="E7" i="6"/>
  <c r="D7" i="6"/>
  <c r="R6" i="6"/>
  <c r="Q6" i="6"/>
  <c r="P6" i="6"/>
  <c r="N6" i="6"/>
  <c r="M6" i="6"/>
  <c r="L6" i="6"/>
  <c r="E6" i="6"/>
  <c r="D6" i="6"/>
  <c r="R5" i="6"/>
  <c r="Q5" i="6"/>
  <c r="P5" i="6"/>
  <c r="N5" i="6"/>
  <c r="M5" i="6"/>
  <c r="L5" i="6"/>
  <c r="E5" i="6"/>
  <c r="D5" i="6"/>
  <c r="R4" i="6"/>
  <c r="Q4" i="6"/>
  <c r="P4" i="6"/>
  <c r="N4" i="6"/>
  <c r="M4" i="6"/>
  <c r="L4" i="6"/>
  <c r="E4" i="6"/>
  <c r="D4" i="6"/>
  <c r="R3" i="6"/>
  <c r="Q3" i="6"/>
  <c r="P3" i="6"/>
  <c r="N3" i="6"/>
  <c r="M3" i="6"/>
  <c r="L3" i="6"/>
  <c r="E3" i="6"/>
  <c r="D3" i="6"/>
  <c r="G27" i="3" s="1"/>
  <c r="H27" i="3" s="1"/>
  <c r="R2" i="6"/>
  <c r="Q2" i="6"/>
  <c r="P2" i="6"/>
  <c r="N2" i="6"/>
  <c r="M2" i="6"/>
  <c r="L2" i="6"/>
  <c r="E2" i="6"/>
  <c r="L56" i="5"/>
  <c r="F56" i="5"/>
  <c r="AK37" i="4"/>
  <c r="AK36" i="4"/>
  <c r="AK35" i="4"/>
  <c r="AK34" i="4"/>
  <c r="AK39" i="4" s="1"/>
  <c r="U63" i="3"/>
  <c r="F34" i="3" l="1"/>
  <c r="G35" i="3"/>
  <c r="H35" i="3" s="1"/>
  <c r="G56" i="3"/>
  <c r="H56" i="3" s="1"/>
  <c r="G4" i="3"/>
  <c r="H4" i="3" s="1"/>
  <c r="F62" i="3"/>
  <c r="G60" i="3"/>
  <c r="H60" i="3" s="1"/>
  <c r="F3" i="3"/>
  <c r="F42" i="3"/>
  <c r="G47" i="3"/>
  <c r="H47" i="3" s="1"/>
  <c r="G55" i="3"/>
  <c r="H55" i="3" s="1"/>
  <c r="G15" i="3"/>
  <c r="H15" i="3" s="1"/>
  <c r="F22" i="3"/>
  <c r="F43" i="3"/>
  <c r="F14" i="3"/>
  <c r="G16" i="3"/>
  <c r="H16" i="3" s="1"/>
  <c r="F23" i="3"/>
  <c r="F54" i="3"/>
  <c r="G7" i="3"/>
  <c r="H7" i="3" s="1"/>
  <c r="G14" i="3"/>
  <c r="H14" i="3" s="1"/>
  <c r="F61" i="3"/>
  <c r="G34" i="3"/>
  <c r="H34" i="3" s="1"/>
  <c r="G21" i="3"/>
  <c r="H21" i="3" s="1"/>
  <c r="F48" i="3"/>
  <c r="F21" i="3"/>
  <c r="F41" i="3"/>
  <c r="G54" i="3"/>
  <c r="H54" i="3" s="1"/>
  <c r="F8" i="3"/>
  <c r="F28" i="3"/>
  <c r="G41" i="3"/>
  <c r="H41" i="3" s="1"/>
  <c r="G61" i="3"/>
  <c r="H61" i="3" s="1"/>
  <c r="G8" i="3"/>
  <c r="H8" i="3" s="1"/>
  <c r="F15" i="3"/>
  <c r="G28" i="3"/>
  <c r="H28" i="3" s="1"/>
  <c r="F35" i="3"/>
  <c r="G48" i="3"/>
  <c r="H48" i="3" s="1"/>
  <c r="F55" i="3"/>
  <c r="F9" i="3"/>
  <c r="G22" i="3"/>
  <c r="H22" i="3" s="1"/>
  <c r="F29" i="3"/>
  <c r="G42" i="3"/>
  <c r="H42" i="3" s="1"/>
  <c r="F49" i="3"/>
  <c r="G62" i="3"/>
  <c r="H62" i="3" s="1"/>
  <c r="G9" i="3"/>
  <c r="H9" i="3" s="1"/>
  <c r="F16" i="3"/>
  <c r="G29" i="3"/>
  <c r="H29" i="3" s="1"/>
  <c r="F36" i="3"/>
  <c r="G49" i="3"/>
  <c r="H49" i="3" s="1"/>
  <c r="F56" i="3"/>
  <c r="G3" i="3"/>
  <c r="H3" i="3" s="1"/>
  <c r="F10" i="3"/>
  <c r="G23" i="3"/>
  <c r="H23" i="3" s="1"/>
  <c r="F30" i="3"/>
  <c r="G43" i="3"/>
  <c r="H43" i="3" s="1"/>
  <c r="F50" i="3"/>
  <c r="F17" i="3"/>
  <c r="G57" i="3"/>
  <c r="H57" i="3" s="1"/>
  <c r="G10" i="3"/>
  <c r="H10" i="3" s="1"/>
  <c r="F11" i="3"/>
  <c r="F51" i="3"/>
  <c r="G11" i="3"/>
  <c r="H11" i="3" s="1"/>
  <c r="F18" i="3"/>
  <c r="G31" i="3"/>
  <c r="H31" i="3" s="1"/>
  <c r="F38" i="3"/>
  <c r="G51" i="3"/>
  <c r="H51" i="3" s="1"/>
  <c r="F58" i="3"/>
  <c r="F24" i="3"/>
  <c r="F5" i="3"/>
  <c r="G18" i="3"/>
  <c r="H18" i="3" s="1"/>
  <c r="F25" i="3"/>
  <c r="G38" i="3"/>
  <c r="H38" i="3" s="1"/>
  <c r="F45" i="3"/>
  <c r="G58" i="3"/>
  <c r="H58" i="3" s="1"/>
  <c r="F12" i="3"/>
  <c r="F32" i="3"/>
  <c r="F52" i="3"/>
  <c r="F57" i="3"/>
  <c r="G37" i="3"/>
  <c r="H37" i="3" s="1"/>
  <c r="G24" i="3"/>
  <c r="H24" i="3" s="1"/>
  <c r="G5" i="3"/>
  <c r="H5" i="3" s="1"/>
  <c r="G25" i="3"/>
  <c r="H25" i="3" s="1"/>
  <c r="G45" i="3"/>
  <c r="H45" i="3" s="1"/>
  <c r="G12" i="3"/>
  <c r="H12" i="3" s="1"/>
  <c r="F19" i="3"/>
  <c r="G32" i="3"/>
  <c r="H32" i="3" s="1"/>
  <c r="F39" i="3"/>
  <c r="G52" i="3"/>
  <c r="H52" i="3" s="1"/>
  <c r="F59" i="3"/>
  <c r="G59" i="3"/>
  <c r="H59" i="3" s="1"/>
  <c r="G36" i="3"/>
  <c r="H36" i="3" s="1"/>
  <c r="G30" i="3"/>
  <c r="H30" i="3" s="1"/>
  <c r="F4" i="3"/>
  <c r="G44" i="3"/>
  <c r="H44" i="3" s="1"/>
  <c r="G19" i="3"/>
  <c r="H19" i="3" s="1"/>
  <c r="G6" i="3"/>
  <c r="H6" i="3" s="1"/>
  <c r="F13" i="3"/>
  <c r="G26" i="3"/>
  <c r="H26" i="3" s="1"/>
  <c r="F33" i="3"/>
  <c r="G46" i="3"/>
  <c r="H46" i="3" s="1"/>
  <c r="F53" i="3"/>
  <c r="F37" i="3"/>
  <c r="F44" i="3"/>
  <c r="F31" i="3"/>
  <c r="F26" i="3"/>
  <c r="G39" i="3"/>
  <c r="H39" i="3" s="1"/>
  <c r="G13" i="3"/>
  <c r="H13" i="3" s="1"/>
  <c r="G33" i="3"/>
  <c r="H33" i="3" s="1"/>
  <c r="F60" i="3"/>
  <c r="G50" i="3"/>
  <c r="H50" i="3" s="1"/>
  <c r="G17" i="3"/>
  <c r="H17" i="3" s="1"/>
  <c r="F6" i="3"/>
  <c r="F46" i="3"/>
  <c r="F20" i="3"/>
  <c r="F40" i="3"/>
  <c r="G53" i="3"/>
  <c r="H53" i="3" s="1"/>
  <c r="F7" i="3"/>
  <c r="G20" i="3"/>
  <c r="H20" i="3" s="1"/>
  <c r="F27" i="3"/>
  <c r="G40" i="3"/>
  <c r="H40" i="3" s="1"/>
  <c r="F47" i="3"/>
  <c r="D21" i="2" l="1"/>
  <c r="D20" i="2"/>
  <c r="D19" i="2"/>
  <c r="D18" i="2"/>
  <c r="D13" i="2"/>
  <c r="D26" i="2"/>
  <c r="D17" i="2"/>
  <c r="D16" i="2"/>
  <c r="D12" i="2"/>
  <c r="D11" i="2"/>
  <c r="D15" i="2"/>
  <c r="D6" i="2"/>
  <c r="D14" i="2"/>
  <c r="D9" i="2"/>
  <c r="D10" i="2"/>
  <c r="D8" i="2"/>
  <c r="D27" i="2"/>
  <c r="D7" i="2"/>
  <c r="D22" i="2"/>
  <c r="D25" i="2"/>
  <c r="D5" i="2"/>
  <c r="D23" i="2"/>
  <c r="D24" i="2"/>
  <c r="D2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정영욱 (JEONG YOUNG WOOK)</author>
  </authors>
  <commentList>
    <comment ref="AM21" authorId="0" shapeId="0" xr:uid="{00000000-0006-0000-0300-000001000000}">
      <text>
        <r>
          <rPr>
            <sz val="11"/>
            <color theme="1"/>
            <rFont val="맑은 고딕"/>
            <family val="3"/>
            <charset val="129"/>
            <scheme val="minor"/>
          </rPr>
          <t xml:space="preserve">정영욱 : 법인카드 미반영
</t>
        </r>
      </text>
    </comment>
    <comment ref="AJ26" authorId="0" shapeId="0" xr:uid="{00000000-0006-0000-0300-000002000000}">
      <text>
        <r>
          <rPr>
            <sz val="11"/>
            <color theme="1"/>
            <rFont val="맑은 고딕"/>
            <family val="3"/>
            <charset val="129"/>
            <scheme val="minor"/>
          </rPr>
          <t xml:space="preserve">정영욱 : 세중 측 결제실수로 자사 부담 X
</t>
        </r>
      </text>
    </comment>
  </commentList>
</comments>
</file>

<file path=xl/sharedStrings.xml><?xml version="1.0" encoding="utf-8"?>
<sst xmlns="http://schemas.openxmlformats.org/spreadsheetml/2006/main" count="3954" uniqueCount="1383">
  <si>
    <t>CC정리</t>
  </si>
  <si>
    <t>부서명</t>
  </si>
  <si>
    <t>C/C</t>
  </si>
  <si>
    <t>DB글로벌칩_임원</t>
  </si>
  <si>
    <t>B2D102</t>
  </si>
  <si>
    <t>영업담당_임원</t>
  </si>
  <si>
    <t>B2D311</t>
  </si>
  <si>
    <t>DDI마케팅파트</t>
  </si>
  <si>
    <t>B2D330</t>
  </si>
  <si>
    <t>영업팀</t>
  </si>
  <si>
    <t>B2D310</t>
  </si>
  <si>
    <t>심천지사</t>
  </si>
  <si>
    <t>B2D320</t>
  </si>
  <si>
    <t>SCM담당</t>
  </si>
  <si>
    <t>B2D641</t>
  </si>
  <si>
    <t>외주생산파트</t>
  </si>
  <si>
    <t>B2D340</t>
  </si>
  <si>
    <t>전략구매파트</t>
  </si>
  <si>
    <t>B2D350</t>
  </si>
  <si>
    <t>기술지원담당_임원</t>
  </si>
  <si>
    <t>B2D201</t>
  </si>
  <si>
    <t>품질팀</t>
  </si>
  <si>
    <t>B2D710</t>
  </si>
  <si>
    <t>제품기술팀</t>
  </si>
  <si>
    <t>D2A410</t>
  </si>
  <si>
    <t>Test팀</t>
  </si>
  <si>
    <t>D2A510</t>
  </si>
  <si>
    <t>PKG파트</t>
  </si>
  <si>
    <t>B2D800</t>
  </si>
  <si>
    <t>DDI개발담당_임원</t>
  </si>
  <si>
    <t>D2A701</t>
  </si>
  <si>
    <t>제품개발팀</t>
  </si>
  <si>
    <t>D2A720</t>
  </si>
  <si>
    <t>제품개발1파트</t>
  </si>
  <si>
    <t>제품개발2파트</t>
  </si>
  <si>
    <t>Logic개발팀</t>
  </si>
  <si>
    <t>D2A730</t>
  </si>
  <si>
    <t>Logic파트</t>
  </si>
  <si>
    <t>Digital IP파트</t>
  </si>
  <si>
    <t>Analog개발팀</t>
  </si>
  <si>
    <t>D2A830</t>
  </si>
  <si>
    <t>Analog1파트</t>
  </si>
  <si>
    <t>Analog2파트</t>
  </si>
  <si>
    <t>Interface파트</t>
  </si>
  <si>
    <t>ESD팀</t>
  </si>
  <si>
    <t>D2A760</t>
  </si>
  <si>
    <t>PMIC사업담당장</t>
  </si>
  <si>
    <t>B2D501</t>
  </si>
  <si>
    <t>PMIC마케팅파트</t>
  </si>
  <si>
    <t>B2D510</t>
  </si>
  <si>
    <t>PMIC개발팀</t>
  </si>
  <si>
    <t>D2A790</t>
  </si>
  <si>
    <t>전사공통</t>
  </si>
  <si>
    <t>B2D100</t>
  </si>
  <si>
    <t>■ 정산내역</t>
  </si>
  <si>
    <t>합계금액</t>
  </si>
  <si>
    <t>■ 기타사항</t>
  </si>
  <si>
    <t>-4/20(월) 변동사항 없음</t>
  </si>
  <si>
    <t>선택</t>
  </si>
  <si>
    <t>구분</t>
  </si>
  <si>
    <t>승인번호</t>
  </si>
  <si>
    <t>이용자명(영문)</t>
  </si>
  <si>
    <t>이용자명(국문)</t>
  </si>
  <si>
    <t>부서코드</t>
  </si>
  <si>
    <t>출발일자</t>
  </si>
  <si>
    <t>여정</t>
  </si>
  <si>
    <t>법인</t>
  </si>
  <si>
    <t>카드사</t>
  </si>
  <si>
    <t>카드번호</t>
  </si>
  <si>
    <t>사용일자</t>
  </si>
  <si>
    <t>상호</t>
  </si>
  <si>
    <t>업종</t>
  </si>
  <si>
    <t>통화</t>
  </si>
  <si>
    <t>공급가액</t>
  </si>
  <si>
    <t>부가세</t>
  </si>
  <si>
    <t>봉사료</t>
  </si>
  <si>
    <t>합계</t>
  </si>
  <si>
    <t>지급일</t>
  </si>
  <si>
    <t>출장 문서번호</t>
  </si>
  <si>
    <t>전표번호</t>
  </si>
  <si>
    <t>매입</t>
  </si>
  <si>
    <t>신규</t>
  </si>
  <si>
    <t>LEE/SANGTAE</t>
  </si>
  <si>
    <t>20260413</t>
  </si>
  <si>
    <t>ICN/SZX/ICN</t>
  </si>
  <si>
    <t>7018802701 (주)DB글로벌칩</t>
  </si>
  <si>
    <t>하나은행</t>
  </si>
  <si>
    <t>4336-9200-****-1581</t>
  </si>
  <si>
    <t>2026-04-06</t>
  </si>
  <si>
    <t>대한항공주식회사BSP</t>
  </si>
  <si>
    <t>대한항공</t>
  </si>
  <si>
    <t>KRW</t>
  </si>
  <si>
    <t>2026-04-25</t>
  </si>
  <si>
    <t>이니시스_취급수수료</t>
  </si>
  <si>
    <t>여행사</t>
  </si>
  <si>
    <t>PARK/JEONGTAE</t>
  </si>
  <si>
    <t>20260408</t>
  </si>
  <si>
    <t>ICN/TPE/ICN</t>
  </si>
  <si>
    <t>2026-04-01</t>
  </si>
  <si>
    <t>KIM/HEEJIN</t>
  </si>
  <si>
    <t>LEE/JONGRAE</t>
  </si>
  <si>
    <t>JEONG/YEONHO</t>
  </si>
  <si>
    <t>20260402</t>
  </si>
  <si>
    <t>SZX/ICN</t>
  </si>
  <si>
    <t>(주)세중</t>
  </si>
  <si>
    <t>JEONG/HOYONG</t>
  </si>
  <si>
    <t>20260504</t>
  </si>
  <si>
    <t>ICN/LAX/ICN</t>
  </si>
  <si>
    <t>2026-03-31</t>
  </si>
  <si>
    <t>KO/JAEHONG</t>
  </si>
  <si>
    <t>HONG/HYOUNGDO</t>
  </si>
  <si>
    <t>매입취소</t>
  </si>
  <si>
    <t>PARK/CHANHO</t>
  </si>
  <si>
    <t>20260503</t>
  </si>
  <si>
    <t>2026-03-30</t>
  </si>
  <si>
    <t>YIN/QIUSHI</t>
  </si>
  <si>
    <t>20260331</t>
  </si>
  <si>
    <t>ICN/CAN/ICN</t>
  </si>
  <si>
    <t>HWANG/DAEWOOK</t>
  </si>
  <si>
    <t>20260407</t>
  </si>
  <si>
    <t>ICN/WUH/ICN</t>
  </si>
  <si>
    <t>2026-03-27</t>
  </si>
  <si>
    <t>KIM/KIIL</t>
  </si>
  <si>
    <t>BYUN/SEUNGCHAN</t>
  </si>
  <si>
    <t>CHOI/SANGSHIN</t>
  </si>
  <si>
    <t>PARK/SANGHYUN</t>
  </si>
  <si>
    <t>20260401</t>
  </si>
  <si>
    <t>2026-03-26</t>
  </si>
  <si>
    <t>20260330</t>
  </si>
  <si>
    <t>ICN/SZX</t>
  </si>
  <si>
    <t>아시아나항공사BSP</t>
  </si>
  <si>
    <t>아시아나항공</t>
  </si>
  <si>
    <t>JUNG/KYUWOON</t>
  </si>
  <si>
    <t>20260324</t>
  </si>
  <si>
    <t>SHA/SZX</t>
  </si>
  <si>
    <t>2026-03-20</t>
  </si>
  <si>
    <t>중국동방항공비에스피</t>
  </si>
  <si>
    <t>항공사</t>
  </si>
  <si>
    <t>KIM/HYEONGHO</t>
  </si>
  <si>
    <t>20260323</t>
  </si>
  <si>
    <t>ICN/CKG/ICN</t>
  </si>
  <si>
    <t>중국국제항공공사한국지점BSP</t>
  </si>
  <si>
    <t>20260325</t>
  </si>
  <si>
    <t>2026-03-19</t>
  </si>
  <si>
    <t>GMP/SHA/SZX/ICN</t>
  </si>
  <si>
    <t>2026-03-17</t>
  </si>
  <si>
    <t>OH/TAKJUN</t>
  </si>
  <si>
    <t>2026-03-16</t>
  </si>
  <si>
    <t>JUNG/CHANKYEONG</t>
  </si>
  <si>
    <t>LEE/JUNMIN</t>
  </si>
  <si>
    <t>순번</t>
  </si>
  <si>
    <t>항공권번호</t>
  </si>
  <si>
    <t>CJ NO</t>
  </si>
  <si>
    <t>판매</t>
  </si>
  <si>
    <t>지사</t>
  </si>
  <si>
    <t>발권일자</t>
  </si>
  <si>
    <t>항공사명</t>
  </si>
  <si>
    <t>코드</t>
  </si>
  <si>
    <t>고객사명</t>
  </si>
  <si>
    <t>고객명</t>
  </si>
  <si>
    <t>고객명(영문)</t>
  </si>
  <si>
    <t>고객사번</t>
  </si>
  <si>
    <t>생년월일</t>
  </si>
  <si>
    <t>영업사원</t>
  </si>
  <si>
    <t>발권사원</t>
  </si>
  <si>
    <t>단체</t>
  </si>
  <si>
    <t>번호</t>
  </si>
  <si>
    <t>출발일</t>
  </si>
  <si>
    <t>도시</t>
  </si>
  <si>
    <t>도시(한글)</t>
  </si>
  <si>
    <t>GDS구분</t>
  </si>
  <si>
    <t>목적 지역명</t>
  </si>
  <si>
    <t>목적 국가</t>
  </si>
  <si>
    <t>목적 국가명</t>
  </si>
  <si>
    <t>목적 도시</t>
  </si>
  <si>
    <t>목적 도시명</t>
  </si>
  <si>
    <t>Fare Amt</t>
  </si>
  <si>
    <t>Tax Amt</t>
  </si>
  <si>
    <t>Fuel Amt</t>
  </si>
  <si>
    <t>Dc Amt</t>
  </si>
  <si>
    <t>Net Amt</t>
  </si>
  <si>
    <t>Card Amt</t>
  </si>
  <si>
    <t>Cash Amt</t>
  </si>
  <si>
    <t>Cc Amt</t>
  </si>
  <si>
    <t>Com Amt</t>
  </si>
  <si>
    <t>환불금액</t>
  </si>
  <si>
    <t>환불 (FARE)</t>
  </si>
  <si>
    <t>환불 (TAX)</t>
  </si>
  <si>
    <t>환불일자</t>
  </si>
  <si>
    <t>환불구분</t>
  </si>
  <si>
    <t>수수료률</t>
  </si>
  <si>
    <t>CANCLE_AMT</t>
  </si>
  <si>
    <t>취급수수료총액</t>
  </si>
  <si>
    <t>취급수수료</t>
  </si>
  <si>
    <t>취급승인번호</t>
  </si>
  <si>
    <t>승인일자</t>
  </si>
  <si>
    <t>재발행항공권</t>
  </si>
  <si>
    <t>발권구분</t>
  </si>
  <si>
    <t>999</t>
  </si>
  <si>
    <t>5018954423</t>
  </si>
  <si>
    <t xml:space="preserve">    -   -   </t>
  </si>
  <si>
    <t>N</t>
  </si>
  <si>
    <t>본사</t>
  </si>
  <si>
    <t>20260316</t>
  </si>
  <si>
    <t>CA</t>
  </si>
  <si>
    <t>K04709</t>
  </si>
  <si>
    <t>주식회사 디비하이텍</t>
  </si>
  <si>
    <t xml:space="preserve">    /  /  </t>
  </si>
  <si>
    <t>박지운</t>
  </si>
  <si>
    <t>한연지</t>
  </si>
  <si>
    <t>인천/충칭(중경)/인천</t>
  </si>
  <si>
    <t>AMADEUS</t>
  </si>
  <si>
    <t>중국</t>
  </si>
  <si>
    <t>CHN</t>
  </si>
  <si>
    <t>CKG</t>
  </si>
  <si>
    <t>충칭(중경)</t>
  </si>
  <si>
    <t>VI433692******1581</t>
  </si>
  <si>
    <t>01606203</t>
  </si>
  <si>
    <t>02606203</t>
  </si>
  <si>
    <t>2026/03/16</t>
  </si>
  <si>
    <t>신규발행</t>
  </si>
  <si>
    <t>5018954425</t>
  </si>
  <si>
    <t>03606203</t>
  </si>
  <si>
    <t>04606203</t>
  </si>
  <si>
    <t>5018954426</t>
  </si>
  <si>
    <t>05606203</t>
  </si>
  <si>
    <t>06606203</t>
  </si>
  <si>
    <t>180</t>
  </si>
  <si>
    <t>5018985483</t>
  </si>
  <si>
    <t>20260317</t>
  </si>
  <si>
    <t>KE</t>
  </si>
  <si>
    <t>정겨운</t>
  </si>
  <si>
    <t>1992/07/20</t>
  </si>
  <si>
    <t>서울/상하이(상해)/심천/인천</t>
  </si>
  <si>
    <t>SHA</t>
  </si>
  <si>
    <t>상하이(상해)</t>
  </si>
  <si>
    <t>08606303</t>
  </si>
  <si>
    <t>09606303</t>
  </si>
  <si>
    <t>2026/03/17</t>
  </si>
  <si>
    <t>781</t>
  </si>
  <si>
    <t>5019046044</t>
  </si>
  <si>
    <t>20260319</t>
  </si>
  <si>
    <t>MU</t>
  </si>
  <si>
    <t>상하이(상해)/심천</t>
  </si>
  <si>
    <t>00607503</t>
  </si>
  <si>
    <t>01607503</t>
  </si>
  <si>
    <t>2026/03/19</t>
  </si>
  <si>
    <t>SOTO(0%)</t>
  </si>
  <si>
    <t>5019090441</t>
  </si>
  <si>
    <t>20260320</t>
  </si>
  <si>
    <t>02607603</t>
  </si>
  <si>
    <t>5019-046-044</t>
  </si>
  <si>
    <t>5019090458</t>
  </si>
  <si>
    <t>김형호</t>
  </si>
  <si>
    <t>1988/07/14</t>
  </si>
  <si>
    <t>03607603</t>
  </si>
  <si>
    <t>04607603</t>
  </si>
  <si>
    <t>2026/03/20</t>
  </si>
  <si>
    <t>479</t>
  </si>
  <si>
    <t>5460152825</t>
  </si>
  <si>
    <t>20260326</t>
  </si>
  <si>
    <t>ZH</t>
  </si>
  <si>
    <t>심천/인천</t>
  </si>
  <si>
    <t>SZX</t>
  </si>
  <si>
    <t>심천</t>
  </si>
  <si>
    <t>19607203</t>
  </si>
  <si>
    <t>2026/03/26</t>
  </si>
  <si>
    <t>PTA(0%)</t>
  </si>
  <si>
    <t>5460152826</t>
  </si>
  <si>
    <t>10608203</t>
  </si>
  <si>
    <t>988</t>
  </si>
  <si>
    <t>9490109815</t>
  </si>
  <si>
    <t>OZ</t>
  </si>
  <si>
    <t>인천/심천</t>
  </si>
  <si>
    <t>ABACUS</t>
  </si>
  <si>
    <t xml:space="preserve">15607203 </t>
  </si>
  <si>
    <t>16607203</t>
  </si>
  <si>
    <t>9490109816</t>
  </si>
  <si>
    <t xml:space="preserve">17607203 </t>
  </si>
  <si>
    <t>18607203</t>
  </si>
  <si>
    <t>5460197811</t>
  </si>
  <si>
    <t>20260327</t>
  </si>
  <si>
    <t>인천/우한(무한)/인천</t>
  </si>
  <si>
    <t>WUH</t>
  </si>
  <si>
    <t>우한(무한)</t>
  </si>
  <si>
    <t>14608303</t>
  </si>
  <si>
    <t>15609303</t>
  </si>
  <si>
    <t>2026/03/27</t>
  </si>
  <si>
    <t>5460197812</t>
  </si>
  <si>
    <t>최상신</t>
  </si>
  <si>
    <t>1972/10/06</t>
  </si>
  <si>
    <t>16608303</t>
  </si>
  <si>
    <t>16609303</t>
  </si>
  <si>
    <t>5460197813</t>
  </si>
  <si>
    <t>18608303</t>
  </si>
  <si>
    <t>17609303</t>
  </si>
  <si>
    <t>5460197814</t>
  </si>
  <si>
    <t>김기일</t>
  </si>
  <si>
    <t>1983/07/08</t>
  </si>
  <si>
    <t>10609303</t>
  </si>
  <si>
    <t>18609303</t>
  </si>
  <si>
    <t>5460197815</t>
  </si>
  <si>
    <t>변승찬</t>
  </si>
  <si>
    <t>1977/02/13</t>
  </si>
  <si>
    <t>12609303</t>
  </si>
  <si>
    <t>19609303</t>
  </si>
  <si>
    <t>5460197816</t>
  </si>
  <si>
    <t>14609303</t>
  </si>
  <si>
    <t>10600304</t>
  </si>
  <si>
    <t>5460268658</t>
  </si>
  <si>
    <t>인천/로스앤젤레스/인천</t>
  </si>
  <si>
    <t>북미</t>
  </si>
  <si>
    <t>USA</t>
  </si>
  <si>
    <t>미국</t>
  </si>
  <si>
    <t>LAX</t>
  </si>
  <si>
    <t>로스앤젤레스</t>
  </si>
  <si>
    <t>12600604</t>
  </si>
  <si>
    <t>2026/04/09</t>
  </si>
  <si>
    <t>전체환불</t>
  </si>
  <si>
    <t>13600604</t>
  </si>
  <si>
    <t>2026/03/30</t>
  </si>
  <si>
    <t>5460330185</t>
  </si>
  <si>
    <t>윤추실</t>
  </si>
  <si>
    <t>1996/11/13</t>
  </si>
  <si>
    <t>인천/광저우(광주)/인천</t>
  </si>
  <si>
    <t>CAN</t>
  </si>
  <si>
    <t>광저우(광주)</t>
  </si>
  <si>
    <t>15600604</t>
  </si>
  <si>
    <t>16600604</t>
  </si>
  <si>
    <t>5460357604</t>
  </si>
  <si>
    <t>12601704</t>
  </si>
  <si>
    <t>2026/04/10</t>
  </si>
  <si>
    <t>13601704</t>
  </si>
  <si>
    <t>2026/03/31</t>
  </si>
  <si>
    <t>5460357606</t>
  </si>
  <si>
    <t>홍형도</t>
  </si>
  <si>
    <t>1984/08/26</t>
  </si>
  <si>
    <t>18600704</t>
  </si>
  <si>
    <t>14601704</t>
  </si>
  <si>
    <t>5460357607</t>
  </si>
  <si>
    <t>10601704</t>
  </si>
  <si>
    <t>15601704</t>
  </si>
  <si>
    <t>5460399646</t>
  </si>
  <si>
    <t>16601704</t>
  </si>
  <si>
    <t>5460-152-825</t>
  </si>
  <si>
    <t>5460399647</t>
  </si>
  <si>
    <t>17601704</t>
  </si>
  <si>
    <t>5460-152-826</t>
  </si>
  <si>
    <t>5460450044</t>
  </si>
  <si>
    <t>김희진</t>
  </si>
  <si>
    <t>1979/01/28</t>
  </si>
  <si>
    <t>인천/타이베이/인천</t>
  </si>
  <si>
    <t>동남아시아</t>
  </si>
  <si>
    <t>TWN</t>
  </si>
  <si>
    <t>타이완</t>
  </si>
  <si>
    <t>TPE</t>
  </si>
  <si>
    <t>타이베이</t>
  </si>
  <si>
    <t>13602804</t>
  </si>
  <si>
    <t>14602804</t>
  </si>
  <si>
    <t>2026/04/01</t>
  </si>
  <si>
    <t>5460450046</t>
  </si>
  <si>
    <t>이종래</t>
  </si>
  <si>
    <t>1980/10/13</t>
  </si>
  <si>
    <t>19601804</t>
  </si>
  <si>
    <t>15602804</t>
  </si>
  <si>
    <t>5460450047</t>
  </si>
  <si>
    <t>박정태</t>
  </si>
  <si>
    <t>1973/01/15</t>
  </si>
  <si>
    <t>11602804</t>
  </si>
  <si>
    <t>16602804</t>
  </si>
  <si>
    <t>5460450240</t>
  </si>
  <si>
    <t>20260403</t>
  </si>
  <si>
    <t>CAN/ICN</t>
  </si>
  <si>
    <t>광저우(광주)/인천</t>
  </si>
  <si>
    <t>5460-330-185</t>
  </si>
  <si>
    <t>9297591150</t>
  </si>
  <si>
    <t>20260406</t>
  </si>
  <si>
    <t>이상태</t>
  </si>
  <si>
    <t>1976/09/01</t>
  </si>
  <si>
    <t>인천/심천/인천</t>
  </si>
  <si>
    <t>20603304</t>
  </si>
  <si>
    <t>21603304</t>
  </si>
  <si>
    <t>2026/04/06</t>
  </si>
  <si>
    <t>결제금액</t>
  </si>
  <si>
    <t>취소금액</t>
  </si>
  <si>
    <t>취급수수료 취소</t>
  </si>
  <si>
    <t>총계</t>
  </si>
  <si>
    <t>* 법인카드 미반영 1건 : 5월 명세서 반영예정</t>
  </si>
  <si>
    <t>NO</t>
  </si>
  <si>
    <t>그룹번호</t>
  </si>
  <si>
    <t>이용일</t>
  </si>
  <si>
    <t>가맹점명</t>
  </si>
  <si>
    <t>이용원금</t>
  </si>
  <si>
    <t>할인금액</t>
  </si>
  <si>
    <t>이용
구분</t>
  </si>
  <si>
    <t>취소
여부</t>
  </si>
  <si>
    <t>할부
기간</t>
  </si>
  <si>
    <t>청구
회차</t>
  </si>
  <si>
    <t>수수료</t>
  </si>
  <si>
    <t>환가료</t>
  </si>
  <si>
    <t>결제후
잔액</t>
  </si>
  <si>
    <t>57</t>
  </si>
  <si>
    <t>300003</t>
  </si>
  <si>
    <t>4336-****-****-1581</t>
  </si>
  <si>
    <t>2026.03.16</t>
  </si>
  <si>
    <t>(주)세중나모여행_이니시스_취급수수료</t>
  </si>
  <si>
    <t>국내일시불</t>
  </si>
  <si>
    <t>58</t>
  </si>
  <si>
    <t>59</t>
  </si>
  <si>
    <t>60</t>
  </si>
  <si>
    <t>61</t>
  </si>
  <si>
    <t>62</t>
  </si>
  <si>
    <t>63</t>
  </si>
  <si>
    <t>2026.03.17</t>
  </si>
  <si>
    <t>64</t>
  </si>
  <si>
    <t>65</t>
  </si>
  <si>
    <t>2026.03.19</t>
  </si>
  <si>
    <t>66</t>
  </si>
  <si>
    <t>67</t>
  </si>
  <si>
    <t>2026.03.20</t>
  </si>
  <si>
    <t>68</t>
  </si>
  <si>
    <t>69</t>
  </si>
  <si>
    <t>70</t>
  </si>
  <si>
    <t>2026.03.26</t>
  </si>
  <si>
    <t>71</t>
  </si>
  <si>
    <t>72</t>
  </si>
  <si>
    <t>73</t>
  </si>
  <si>
    <t>74</t>
  </si>
  <si>
    <t>75</t>
  </si>
  <si>
    <t>76</t>
  </si>
  <si>
    <t>77</t>
  </si>
  <si>
    <t>78</t>
  </si>
  <si>
    <t>2026.03.27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</si>
  <si>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</si>
  <si>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</si>
  <si>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</si>
  <si>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</si>
  <si>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</si>
  <si>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</si>
  <si>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</si>
  <si>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</si>
  <si>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</si>
  <si>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</si>
  <si>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</si>
  <si>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</si>
  <si>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2026.03.30</t>
  </si>
  <si>
    <t>91</t>
  </si>
  <si>
    <t>92</t>
  </si>
  <si>
    <t>Y</t>
  </si>
  <si>
    <t>93</t>
  </si>
  <si>
    <t>94</t>
  </si>
  <si>
    <t>2026.03.31</t>
  </si>
  <si>
    <t>95</t>
  </si>
  <si>
    <t>96</t>
  </si>
  <si>
    <t>97</t>
  </si>
  <si>
    <t>98</t>
  </si>
  <si>
    <t>99</t>
  </si>
  <si>
    <t>100</t>
  </si>
  <si>
    <t>101</t>
  </si>
  <si>
    <t>2026.04.01</t>
  </si>
  <si>
    <t>102</t>
  </si>
  <si>
    <t>103</t>
  </si>
  <si>
    <t>104</t>
  </si>
  <si>
    <t>105</t>
  </si>
  <si>
    <t>106</t>
  </si>
  <si>
    <t>107</t>
  </si>
  <si>
    <t>108</t>
  </si>
  <si>
    <t>109</t>
  </si>
  <si>
    <t>2026.04.06</t>
  </si>
  <si>
    <t>110</t>
  </si>
  <si>
    <t>총 합계</t>
  </si>
  <si>
    <t>이하 여백 (End of document)</t>
  </si>
  <si>
    <t>조회일시: 2026-04-15 14:48:38</t>
  </si>
  <si>
    <t>영문성</t>
  </si>
  <si>
    <t>영문명</t>
  </si>
  <si>
    <t>사번</t>
  </si>
  <si>
    <t>국문명</t>
  </si>
  <si>
    <t>부서명(CC)</t>
  </si>
  <si>
    <t>2025.12 조직개편</t>
  </si>
  <si>
    <t>2026.03 조직개편</t>
  </si>
  <si>
    <t>LEE</t>
  </si>
  <si>
    <t>HYUN JU</t>
  </si>
  <si>
    <t>20000001</t>
  </si>
  <si>
    <t>DO</t>
  </si>
  <si>
    <t>BOK SOON</t>
  </si>
  <si>
    <t>20000002</t>
  </si>
  <si>
    <t>RHO</t>
  </si>
  <si>
    <t>SANG GYUN</t>
  </si>
  <si>
    <t>20000003</t>
  </si>
  <si>
    <t>KANG</t>
  </si>
  <si>
    <t>JUNGHO</t>
  </si>
  <si>
    <t>20000004</t>
  </si>
  <si>
    <t>자문역_임원</t>
  </si>
  <si>
    <t>CHOI</t>
  </si>
  <si>
    <t>JUNGMIN</t>
  </si>
  <si>
    <t>20000005</t>
  </si>
  <si>
    <t>SCM담당_임원</t>
  </si>
  <si>
    <t>PARK</t>
  </si>
  <si>
    <t>TAE YONG</t>
  </si>
  <si>
    <t>20000006</t>
  </si>
  <si>
    <t>DO HUN</t>
  </si>
  <si>
    <t>20000007</t>
  </si>
  <si>
    <t>SO</t>
  </si>
  <si>
    <t>SUN MAN</t>
  </si>
  <si>
    <t>20000008</t>
  </si>
  <si>
    <t>KWON</t>
  </si>
  <si>
    <t>YOUSUK</t>
  </si>
  <si>
    <t>20000010</t>
  </si>
  <si>
    <t>JU</t>
  </si>
  <si>
    <t>YANG JUNG</t>
  </si>
  <si>
    <t>20000013</t>
  </si>
  <si>
    <t>IT파트</t>
  </si>
  <si>
    <t>HUH</t>
  </si>
  <si>
    <t>SE HWA</t>
  </si>
  <si>
    <t>20000014</t>
  </si>
  <si>
    <t>SUNG</t>
  </si>
  <si>
    <t>EUN JOO</t>
  </si>
  <si>
    <t>20000015</t>
  </si>
  <si>
    <t>AN</t>
  </si>
  <si>
    <t>JOO HEE</t>
  </si>
  <si>
    <t>20000016</t>
  </si>
  <si>
    <t>KIM</t>
  </si>
  <si>
    <t>HYUNIL</t>
  </si>
  <si>
    <t>20000017</t>
  </si>
  <si>
    <t>YU BE</t>
  </si>
  <si>
    <t>20000018</t>
  </si>
  <si>
    <t>JEONG TAE</t>
  </si>
  <si>
    <t>20000019</t>
  </si>
  <si>
    <t>SAN HONG</t>
  </si>
  <si>
    <t>20000020</t>
  </si>
  <si>
    <t>JAEUNG</t>
  </si>
  <si>
    <t>20000021</t>
  </si>
  <si>
    <t>YEO</t>
  </si>
  <si>
    <t>SEUNGJIN</t>
  </si>
  <si>
    <t>20000022</t>
  </si>
  <si>
    <t>DDI개발1팀</t>
  </si>
  <si>
    <t>JOON YOUNG</t>
  </si>
  <si>
    <t>20000023</t>
  </si>
  <si>
    <t>KI IL</t>
  </si>
  <si>
    <t>20000024</t>
  </si>
  <si>
    <t>DDI개발2팀</t>
  </si>
  <si>
    <t>HEEJIN</t>
  </si>
  <si>
    <t>20000025</t>
  </si>
  <si>
    <t>CHA</t>
  </si>
  <si>
    <t>SEUNG HYUN</t>
  </si>
  <si>
    <t>20000027</t>
  </si>
  <si>
    <t>ROH</t>
  </si>
  <si>
    <t>SANGHOON</t>
  </si>
  <si>
    <t>20000029</t>
  </si>
  <si>
    <t>JANG</t>
  </si>
  <si>
    <t>SEUNGWON</t>
  </si>
  <si>
    <t>20000030</t>
  </si>
  <si>
    <t>재무관리팀</t>
  </si>
  <si>
    <t>JEONGHO</t>
  </si>
  <si>
    <t>20000032</t>
  </si>
  <si>
    <t>WAN GYU</t>
  </si>
  <si>
    <t>20000033</t>
  </si>
  <si>
    <t>DUCK JUN</t>
  </si>
  <si>
    <t>20000034</t>
  </si>
  <si>
    <t>JIN AH</t>
  </si>
  <si>
    <t>20000035</t>
  </si>
  <si>
    <t>YOUNG GEON</t>
  </si>
  <si>
    <t>20000036</t>
  </si>
  <si>
    <t>MIN SUN</t>
  </si>
  <si>
    <t>20000038</t>
  </si>
  <si>
    <t>SANG HUN</t>
  </si>
  <si>
    <t>20000039</t>
  </si>
  <si>
    <t>CHO</t>
  </si>
  <si>
    <t>YOUNG A</t>
  </si>
  <si>
    <t>20000040</t>
  </si>
  <si>
    <t>SEUNGYONG</t>
  </si>
  <si>
    <t>20000041</t>
  </si>
  <si>
    <t>JEONG</t>
  </si>
  <si>
    <t>YEON HO</t>
  </si>
  <si>
    <t>20000043</t>
  </si>
  <si>
    <t>HEO</t>
  </si>
  <si>
    <t>YEJIN</t>
  </si>
  <si>
    <t>20000044</t>
  </si>
  <si>
    <t>피플팀</t>
  </si>
  <si>
    <t>DO WOO</t>
  </si>
  <si>
    <t>20000046</t>
  </si>
  <si>
    <t>SON</t>
  </si>
  <si>
    <t>SUNKYU</t>
  </si>
  <si>
    <t>20000047</t>
  </si>
  <si>
    <t>YOO</t>
  </si>
  <si>
    <t>SANG MIN</t>
  </si>
  <si>
    <t>20000048</t>
  </si>
  <si>
    <t>SUN HEE</t>
  </si>
  <si>
    <t>20000049</t>
  </si>
  <si>
    <t>DO YEON</t>
  </si>
  <si>
    <t>20000050</t>
  </si>
  <si>
    <t>JEONG SU</t>
  </si>
  <si>
    <t>20000051</t>
  </si>
  <si>
    <t>Layout팀</t>
  </si>
  <si>
    <t>KO</t>
  </si>
  <si>
    <t>JAEHONG</t>
  </si>
  <si>
    <t>20000053</t>
  </si>
  <si>
    <t>YONGTAK</t>
  </si>
  <si>
    <t>20000054</t>
  </si>
  <si>
    <t>JU HYUN</t>
  </si>
  <si>
    <t>20000055</t>
  </si>
  <si>
    <t>SANG HYUN</t>
  </si>
  <si>
    <t>20000056</t>
  </si>
  <si>
    <t>SUNG WOOK</t>
  </si>
  <si>
    <t>20000057</t>
  </si>
  <si>
    <t>DONG GI</t>
  </si>
  <si>
    <t>20000059</t>
  </si>
  <si>
    <t>1파트</t>
  </si>
  <si>
    <t>JAE HAK</t>
  </si>
  <si>
    <t>20000060</t>
  </si>
  <si>
    <t>JONG RAE</t>
  </si>
  <si>
    <t>20000062</t>
  </si>
  <si>
    <t>SUNG HYUN</t>
  </si>
  <si>
    <t>20000063</t>
  </si>
  <si>
    <t>SONG</t>
  </si>
  <si>
    <t>SI YEON</t>
  </si>
  <si>
    <t>20000064</t>
  </si>
  <si>
    <t>HWANG</t>
  </si>
  <si>
    <t>CHAN GYU</t>
  </si>
  <si>
    <t>20000065</t>
  </si>
  <si>
    <t>SU IM</t>
  </si>
  <si>
    <t>20000067</t>
  </si>
  <si>
    <t>BAN</t>
  </si>
  <si>
    <t>KI HWAN</t>
  </si>
  <si>
    <t>20000068</t>
  </si>
  <si>
    <t>YONGJUN</t>
  </si>
  <si>
    <t>20000069</t>
  </si>
  <si>
    <t>OH</t>
  </si>
  <si>
    <t>TAK JUN</t>
  </si>
  <si>
    <t>20000071</t>
  </si>
  <si>
    <t>YOUNG JU</t>
  </si>
  <si>
    <t>20000072</t>
  </si>
  <si>
    <t>KWAN JOO</t>
  </si>
  <si>
    <t>20000073</t>
  </si>
  <si>
    <t>SEO</t>
  </si>
  <si>
    <t>JUNGIL</t>
  </si>
  <si>
    <t>20000074</t>
  </si>
  <si>
    <t>YU</t>
  </si>
  <si>
    <t>MYOUNG SEOK</t>
  </si>
  <si>
    <t>20000076</t>
  </si>
  <si>
    <t>SEOL</t>
  </si>
  <si>
    <t>HYUN SOO</t>
  </si>
  <si>
    <t>20000078</t>
  </si>
  <si>
    <t>MA</t>
  </si>
  <si>
    <t>PYUNG SIK</t>
  </si>
  <si>
    <t>20000079</t>
  </si>
  <si>
    <t>CHEONWI</t>
  </si>
  <si>
    <t>20000081</t>
  </si>
  <si>
    <t>YIN</t>
  </si>
  <si>
    <t>QIUSHI</t>
  </si>
  <si>
    <t>20000082</t>
  </si>
  <si>
    <t>MYEONG HO</t>
  </si>
  <si>
    <t>20000083</t>
  </si>
  <si>
    <t>JUN YOUNG</t>
  </si>
  <si>
    <t>20000084</t>
  </si>
  <si>
    <t>JUNG</t>
  </si>
  <si>
    <t>KI SUN</t>
  </si>
  <si>
    <t>20000085</t>
  </si>
  <si>
    <t>PYO HYEON</t>
  </si>
  <si>
    <t>20000086</t>
  </si>
  <si>
    <t>lee</t>
  </si>
  <si>
    <t>yu jin</t>
  </si>
  <si>
    <t>20000087</t>
  </si>
  <si>
    <t>KYUNG HWAN</t>
  </si>
  <si>
    <t>20000088</t>
  </si>
  <si>
    <t>YEONG MIN</t>
  </si>
  <si>
    <t>20000090</t>
  </si>
  <si>
    <t>LIM</t>
  </si>
  <si>
    <t>JAE HO</t>
  </si>
  <si>
    <t>20000091</t>
  </si>
  <si>
    <t>CHAN KYEONG</t>
  </si>
  <si>
    <t>20000092</t>
  </si>
  <si>
    <t>KA</t>
  </si>
  <si>
    <t>HAK JIN</t>
  </si>
  <si>
    <t>20000093</t>
  </si>
  <si>
    <t>SEUNG HWA</t>
  </si>
  <si>
    <t>20000095</t>
  </si>
  <si>
    <t>BYEON</t>
  </si>
  <si>
    <t>JI SU</t>
  </si>
  <si>
    <t>20000096</t>
  </si>
  <si>
    <t>BAEK</t>
  </si>
  <si>
    <t>IN CHEOL</t>
  </si>
  <si>
    <t>20000097</t>
  </si>
  <si>
    <t>JIN WOONG</t>
  </si>
  <si>
    <t>20000098</t>
  </si>
  <si>
    <t>SEONG MIN</t>
  </si>
  <si>
    <t>20000099</t>
  </si>
  <si>
    <t>JEYEOL</t>
  </si>
  <si>
    <t>20000100</t>
  </si>
  <si>
    <t>JEONG HO</t>
  </si>
  <si>
    <t>20000102</t>
  </si>
  <si>
    <t>KYUWOON</t>
  </si>
  <si>
    <t>20000103</t>
  </si>
  <si>
    <t>NA YOUNG</t>
  </si>
  <si>
    <t>20000104</t>
  </si>
  <si>
    <t>KWANG SOO</t>
  </si>
  <si>
    <t>20000107</t>
  </si>
  <si>
    <t>경영지원실_임원</t>
  </si>
  <si>
    <t>SUNG BEEN</t>
  </si>
  <si>
    <t>20000108</t>
  </si>
  <si>
    <t>Shin</t>
  </si>
  <si>
    <t>Hyun Jin</t>
  </si>
  <si>
    <t>20000109</t>
  </si>
  <si>
    <t>HEE JOON</t>
  </si>
  <si>
    <t>20000111</t>
  </si>
  <si>
    <t>JANG HYUN</t>
  </si>
  <si>
    <t>20000112</t>
  </si>
  <si>
    <t>YANG</t>
  </si>
  <si>
    <t>WOO SUN</t>
  </si>
  <si>
    <t>20000114</t>
  </si>
  <si>
    <t>KYOUNG</t>
  </si>
  <si>
    <t>MYEONG GEUN</t>
  </si>
  <si>
    <t>20000116</t>
  </si>
  <si>
    <t>SOOMIN</t>
  </si>
  <si>
    <t>20000117</t>
  </si>
  <si>
    <t>SUNGJYE</t>
  </si>
  <si>
    <t>20000118</t>
  </si>
  <si>
    <t>SHIN</t>
  </si>
  <si>
    <t>CHANGHEE</t>
  </si>
  <si>
    <t>20000119</t>
  </si>
  <si>
    <t>DDI개발2팀_임원</t>
  </si>
  <si>
    <t>WANG</t>
  </si>
  <si>
    <t>DAN</t>
  </si>
  <si>
    <t>20000121</t>
  </si>
  <si>
    <t>MIN</t>
  </si>
  <si>
    <t>20000123</t>
  </si>
  <si>
    <t>YOON</t>
  </si>
  <si>
    <t>20000124</t>
  </si>
  <si>
    <t>DO HYUN</t>
  </si>
  <si>
    <t>20000125</t>
  </si>
  <si>
    <t>CHEONG</t>
  </si>
  <si>
    <t>JUNG YEON</t>
  </si>
  <si>
    <t>20000126</t>
  </si>
  <si>
    <t>MIN JUN</t>
  </si>
  <si>
    <t>20000129</t>
  </si>
  <si>
    <t>SEUNG MIN</t>
  </si>
  <si>
    <t>20000130</t>
  </si>
  <si>
    <t>GI UNG</t>
  </si>
  <si>
    <t>20000131</t>
  </si>
  <si>
    <t>SANGTAE</t>
  </si>
  <si>
    <t>20000134</t>
  </si>
  <si>
    <t>CHEON</t>
  </si>
  <si>
    <t>SEUNG WOO</t>
  </si>
  <si>
    <t>20000137</t>
  </si>
  <si>
    <t>AH REUM</t>
  </si>
  <si>
    <t>20000139</t>
  </si>
  <si>
    <t>IN</t>
  </si>
  <si>
    <t>BYUNG HWA</t>
  </si>
  <si>
    <t>20000140</t>
  </si>
  <si>
    <t>JONG HUN</t>
  </si>
  <si>
    <t>20000141</t>
  </si>
  <si>
    <t>SEUNG JOONG</t>
  </si>
  <si>
    <t>20000142</t>
  </si>
  <si>
    <t>KYOUNG WON</t>
  </si>
  <si>
    <t>20000145</t>
  </si>
  <si>
    <t>Yoon</t>
  </si>
  <si>
    <t>Sung Tak</t>
  </si>
  <si>
    <t>20000146</t>
  </si>
  <si>
    <t>Ho Yong</t>
  </si>
  <si>
    <t>20000148</t>
  </si>
  <si>
    <t>HYEONGHO</t>
  </si>
  <si>
    <t>20000151</t>
  </si>
  <si>
    <t>HONG</t>
  </si>
  <si>
    <t>HYOUNGDO</t>
  </si>
  <si>
    <t>20000152</t>
  </si>
  <si>
    <t>Minkeon</t>
  </si>
  <si>
    <t>20000154</t>
  </si>
  <si>
    <t>BAE</t>
  </si>
  <si>
    <t>YUNMI</t>
  </si>
  <si>
    <t>20000155</t>
  </si>
  <si>
    <t>20000158</t>
  </si>
  <si>
    <t>이재현</t>
  </si>
  <si>
    <t>20000163</t>
  </si>
  <si>
    <t>조아연</t>
  </si>
  <si>
    <t>2파트</t>
  </si>
  <si>
    <t>20000164</t>
  </si>
  <si>
    <t>강대현</t>
  </si>
  <si>
    <t>20000166</t>
  </si>
  <si>
    <t>강동균</t>
  </si>
  <si>
    <t>KANGZUN</t>
  </si>
  <si>
    <t>20000167</t>
  </si>
  <si>
    <t>최강준</t>
  </si>
  <si>
    <t>20000168</t>
  </si>
  <si>
    <t>김지원</t>
  </si>
  <si>
    <t>20000170</t>
  </si>
  <si>
    <t>이호현</t>
  </si>
  <si>
    <t>20000171</t>
  </si>
  <si>
    <t>권기헌</t>
  </si>
  <si>
    <t>20000172</t>
  </si>
  <si>
    <t>박정은</t>
  </si>
  <si>
    <t>20000173</t>
  </si>
  <si>
    <t>백종대</t>
  </si>
  <si>
    <t>20000174</t>
  </si>
  <si>
    <t>김형필</t>
  </si>
  <si>
    <t>20000176</t>
  </si>
  <si>
    <t>강의진</t>
  </si>
  <si>
    <t>20000177</t>
  </si>
  <si>
    <t>정영욱</t>
  </si>
  <si>
    <t>JOWOON</t>
  </si>
  <si>
    <t>20000178</t>
  </si>
  <si>
    <t>이조운</t>
  </si>
  <si>
    <t>20000179</t>
  </si>
  <si>
    <t>박원석</t>
  </si>
  <si>
    <t>20000180</t>
  </si>
  <si>
    <t>김동욱</t>
  </si>
  <si>
    <t>20000181</t>
  </si>
  <si>
    <t>이용준</t>
  </si>
  <si>
    <t>20000182</t>
  </si>
  <si>
    <t>진유남</t>
  </si>
  <si>
    <t>20000183</t>
  </si>
  <si>
    <t>공수현</t>
  </si>
  <si>
    <t>JIN</t>
  </si>
  <si>
    <t>SHIHAO</t>
  </si>
  <si>
    <t>20000184</t>
  </si>
  <si>
    <t>김세호</t>
  </si>
  <si>
    <t>20000185</t>
  </si>
  <si>
    <t>조준형</t>
  </si>
  <si>
    <t>BYUN</t>
  </si>
  <si>
    <t>SEUNGCHAN</t>
  </si>
  <si>
    <t>20000186</t>
  </si>
  <si>
    <t>CHANHO</t>
  </si>
  <si>
    <t>20000187</t>
  </si>
  <si>
    <t>박찬호</t>
  </si>
  <si>
    <t>20000188</t>
  </si>
  <si>
    <t>김병용</t>
  </si>
  <si>
    <t>20000189</t>
  </si>
  <si>
    <t>이태호</t>
  </si>
  <si>
    <t>20000190</t>
  </si>
  <si>
    <t>최윤서</t>
  </si>
  <si>
    <t>YOOK</t>
  </si>
  <si>
    <t>HEUNGSEOB</t>
  </si>
  <si>
    <t>20000191</t>
  </si>
  <si>
    <t>육흥섭</t>
  </si>
  <si>
    <t>20000192</t>
  </si>
  <si>
    <t>이민수</t>
  </si>
  <si>
    <t>20000193</t>
  </si>
  <si>
    <t>허용무</t>
  </si>
  <si>
    <t>20000194</t>
  </si>
  <si>
    <t>정민혜</t>
  </si>
  <si>
    <t>20000195</t>
  </si>
  <si>
    <t>이수연</t>
  </si>
  <si>
    <t>장애인 선수단</t>
  </si>
  <si>
    <t>20000196</t>
  </si>
  <si>
    <t>이지영</t>
  </si>
  <si>
    <t>20000197</t>
  </si>
  <si>
    <t>유소연</t>
  </si>
  <si>
    <t>20000200</t>
  </si>
  <si>
    <t>김기열</t>
  </si>
  <si>
    <t>20000204</t>
  </si>
  <si>
    <t>정세민</t>
  </si>
  <si>
    <t>JUNMIN</t>
  </si>
  <si>
    <t>20000205</t>
  </si>
  <si>
    <t>이준민</t>
  </si>
  <si>
    <t>20000206</t>
  </si>
  <si>
    <t>목정수</t>
  </si>
  <si>
    <t>20000207</t>
  </si>
  <si>
    <t>한시연</t>
  </si>
  <si>
    <t>20000208</t>
  </si>
  <si>
    <t>최효정</t>
  </si>
  <si>
    <t>20000209</t>
  </si>
  <si>
    <t>김봉수</t>
  </si>
  <si>
    <t>20000210</t>
  </si>
  <si>
    <t>한유리</t>
  </si>
  <si>
    <t>20000211</t>
  </si>
  <si>
    <t>김채원</t>
  </si>
  <si>
    <t>20000213</t>
  </si>
  <si>
    <t>주유진</t>
  </si>
  <si>
    <t>20000214</t>
  </si>
  <si>
    <t>문보영</t>
  </si>
  <si>
    <t>KWANGSU</t>
  </si>
  <si>
    <t>20000215</t>
  </si>
  <si>
    <t>이광수</t>
  </si>
  <si>
    <t>20000216</t>
  </si>
  <si>
    <t>황준우</t>
  </si>
  <si>
    <t>20000217</t>
  </si>
  <si>
    <t>진현우</t>
  </si>
  <si>
    <t>20000218</t>
  </si>
  <si>
    <t>최재봉</t>
  </si>
  <si>
    <t>20000219</t>
  </si>
  <si>
    <t>이상우</t>
  </si>
  <si>
    <t>20000220</t>
  </si>
  <si>
    <t>박휘수</t>
  </si>
  <si>
    <t>20000223</t>
  </si>
  <si>
    <t>김영웅</t>
  </si>
  <si>
    <t>20000224</t>
  </si>
  <si>
    <t>이명학</t>
  </si>
  <si>
    <t>DAEBONG</t>
  </si>
  <si>
    <t>20000225</t>
  </si>
  <si>
    <t>김대봉</t>
  </si>
  <si>
    <t>PMIC사업담당</t>
  </si>
  <si>
    <t>20000227</t>
  </si>
  <si>
    <t>문경록</t>
  </si>
  <si>
    <t>LI</t>
  </si>
  <si>
    <t>DONGMEI</t>
  </si>
  <si>
    <t>20000228</t>
  </si>
  <si>
    <t>이동매</t>
  </si>
  <si>
    <t>SANGSHIN</t>
  </si>
  <si>
    <t>20000229</t>
  </si>
  <si>
    <t>CHANGSUN</t>
  </si>
  <si>
    <t>20000230</t>
  </si>
  <si>
    <t>박창선</t>
  </si>
  <si>
    <t>20000231</t>
  </si>
  <si>
    <t>김정현</t>
  </si>
  <si>
    <t>20000232</t>
  </si>
  <si>
    <t>홍다솜</t>
  </si>
  <si>
    <t>20000233</t>
  </si>
  <si>
    <t>유세현</t>
  </si>
  <si>
    <t>20000235</t>
  </si>
  <si>
    <t>김윤종</t>
  </si>
  <si>
    <t>20000236</t>
  </si>
  <si>
    <t>이종수</t>
  </si>
  <si>
    <t>20000237</t>
  </si>
  <si>
    <t>전영준</t>
  </si>
  <si>
    <t>20000238</t>
  </si>
  <si>
    <t>이창배</t>
  </si>
  <si>
    <t>20000239</t>
  </si>
  <si>
    <t>신순연</t>
  </si>
  <si>
    <t>20000240</t>
  </si>
  <si>
    <t>김명관</t>
  </si>
  <si>
    <t>20000241</t>
  </si>
  <si>
    <t>ZhangLiang</t>
  </si>
  <si>
    <t>20000242</t>
  </si>
  <si>
    <t>LinJessie</t>
  </si>
  <si>
    <t>20000243</t>
  </si>
  <si>
    <t>PiaoMeiLing</t>
  </si>
  <si>
    <t>20000244</t>
  </si>
  <si>
    <t>손지윤</t>
  </si>
  <si>
    <t>20000246</t>
  </si>
  <si>
    <t>김창호</t>
  </si>
  <si>
    <t>KYUNGWON</t>
  </si>
  <si>
    <t>20000247</t>
  </si>
  <si>
    <t>민경원</t>
  </si>
  <si>
    <t>20000248</t>
  </si>
  <si>
    <t>김창민</t>
  </si>
  <si>
    <t>20000249</t>
  </si>
  <si>
    <t>윤상준</t>
  </si>
  <si>
    <t>20000251</t>
  </si>
  <si>
    <t>김관우</t>
  </si>
  <si>
    <t>20000252</t>
  </si>
  <si>
    <t>이원조</t>
  </si>
  <si>
    <t>20000253</t>
  </si>
  <si>
    <t>LinWeiJian</t>
  </si>
  <si>
    <t>20000254</t>
  </si>
  <si>
    <t>신정우</t>
  </si>
  <si>
    <t>20000255</t>
  </si>
  <si>
    <t>현필수</t>
  </si>
  <si>
    <t>20000256</t>
  </si>
  <si>
    <t>안민영</t>
  </si>
  <si>
    <t>20000257</t>
  </si>
  <si>
    <t>허영건</t>
  </si>
  <si>
    <t>20000258</t>
  </si>
  <si>
    <t>황영승</t>
  </si>
  <si>
    <t>20000259</t>
  </si>
  <si>
    <t>이지용</t>
  </si>
  <si>
    <t>20000260</t>
  </si>
  <si>
    <t>조성훈</t>
  </si>
  <si>
    <t>20000261</t>
  </si>
  <si>
    <t>이영진</t>
  </si>
  <si>
    <t>20000262</t>
  </si>
  <si>
    <t>김도원</t>
  </si>
  <si>
    <t>DAEWOOK</t>
  </si>
  <si>
    <t>20000264</t>
  </si>
  <si>
    <t>황대욱</t>
  </si>
  <si>
    <t>20000265</t>
  </si>
  <si>
    <t>정문규</t>
  </si>
  <si>
    <t>20000266</t>
  </si>
  <si>
    <t>배명성</t>
  </si>
  <si>
    <t>20000267</t>
  </si>
  <si>
    <t>이용훈</t>
  </si>
  <si>
    <t>20000268</t>
  </si>
  <si>
    <t>안광휘</t>
  </si>
  <si>
    <t>20000269</t>
  </si>
  <si>
    <t>백민호</t>
  </si>
  <si>
    <t>B2D912</t>
  </si>
  <si>
    <t>20000270</t>
  </si>
  <si>
    <t>자문역</t>
  </si>
  <si>
    <t>20000271</t>
  </si>
  <si>
    <t>20000272</t>
  </si>
  <si>
    <t>20000273</t>
  </si>
  <si>
    <t>20000274</t>
  </si>
  <si>
    <t>20000275</t>
  </si>
  <si>
    <t>20000276</t>
  </si>
  <si>
    <t>20000277</t>
  </si>
  <si>
    <t>20000278</t>
  </si>
  <si>
    <t>20000279</t>
  </si>
  <si>
    <t>20000280</t>
  </si>
  <si>
    <t>20000281</t>
  </si>
  <si>
    <t>20000282</t>
  </si>
  <si>
    <t>20000283</t>
  </si>
  <si>
    <t>20000284</t>
  </si>
  <si>
    <t>20000285</t>
  </si>
  <si>
    <t>20000286</t>
  </si>
  <si>
    <t>20000287</t>
  </si>
  <si>
    <t>20000288</t>
  </si>
  <si>
    <t>20000289</t>
  </si>
  <si>
    <t>20000290</t>
  </si>
  <si>
    <t>20000291</t>
  </si>
  <si>
    <t>20000292</t>
  </si>
  <si>
    <t>20000293</t>
  </si>
  <si>
    <t>20000294</t>
  </si>
  <si>
    <t>20000295</t>
  </si>
  <si>
    <t>20000296</t>
  </si>
  <si>
    <t>20000297</t>
  </si>
  <si>
    <t>20000298</t>
  </si>
  <si>
    <t>20000299</t>
  </si>
  <si>
    <t>20000300</t>
  </si>
  <si>
    <t>20000301</t>
  </si>
  <si>
    <t>20000302</t>
  </si>
  <si>
    <t>20000303</t>
  </si>
  <si>
    <t>20000304</t>
  </si>
  <si>
    <t>20000305</t>
  </si>
  <si>
    <t>20000306</t>
  </si>
  <si>
    <t>20000307</t>
  </si>
  <si>
    <t>20000308</t>
  </si>
  <si>
    <t>20000309</t>
  </si>
  <si>
    <t>20000310</t>
  </si>
  <si>
    <t>20000311</t>
  </si>
  <si>
    <t>20000312</t>
  </si>
  <si>
    <t>20000313</t>
  </si>
  <si>
    <t>20000314</t>
  </si>
  <si>
    <t>20000315</t>
  </si>
  <si>
    <t>20000316</t>
  </si>
  <si>
    <t>20000317</t>
  </si>
  <si>
    <t>20000318</t>
  </si>
  <si>
    <t>20000319</t>
  </si>
  <si>
    <t>20000320</t>
  </si>
  <si>
    <t>20000321</t>
  </si>
  <si>
    <t>20000322</t>
  </si>
  <si>
    <t>20000323</t>
  </si>
  <si>
    <t>20000324</t>
  </si>
  <si>
    <t>20000325</t>
  </si>
  <si>
    <t>20000326</t>
  </si>
  <si>
    <t>20000327</t>
  </si>
  <si>
    <t>20000328</t>
  </si>
  <si>
    <t>20000329</t>
  </si>
  <si>
    <t>20000330</t>
  </si>
  <si>
    <t>20000331</t>
  </si>
  <si>
    <t>20000332</t>
  </si>
  <si>
    <t>20000333</t>
  </si>
  <si>
    <t>20000334</t>
  </si>
  <si>
    <t>20000335</t>
  </si>
  <si>
    <t>20000336</t>
  </si>
  <si>
    <t>20000337</t>
  </si>
  <si>
    <t>20000338</t>
  </si>
  <si>
    <t>20000339</t>
  </si>
  <si>
    <t>20000340</t>
  </si>
  <si>
    <t>20000341</t>
  </si>
  <si>
    <t>20000342</t>
  </si>
  <si>
    <t>20000343</t>
  </si>
  <si>
    <t>20000344</t>
  </si>
  <si>
    <t>20000345</t>
  </si>
  <si>
    <t>20000346</t>
  </si>
  <si>
    <t>20000347</t>
  </si>
  <si>
    <t>20000348</t>
  </si>
  <si>
    <t>20000349</t>
  </si>
  <si>
    <t>20000350</t>
  </si>
  <si>
    <t>20000351</t>
  </si>
  <si>
    <t>20000352</t>
  </si>
  <si>
    <t>20000353</t>
  </si>
  <si>
    <t>20000354</t>
  </si>
  <si>
    <t>20000355</t>
  </si>
  <si>
    <t>20000356</t>
  </si>
  <si>
    <t>20000357</t>
  </si>
  <si>
    <t>20000358</t>
  </si>
  <si>
    <t>20000359</t>
  </si>
  <si>
    <t>20000360</t>
  </si>
  <si>
    <t>20000361</t>
  </si>
  <si>
    <t>20000362</t>
  </si>
  <si>
    <t>20000363</t>
  </si>
  <si>
    <t>20000364</t>
  </si>
  <si>
    <t>20000365</t>
  </si>
  <si>
    <t>20000366</t>
  </si>
  <si>
    <t>20000367</t>
  </si>
  <si>
    <t>20000368</t>
  </si>
  <si>
    <t>20000369</t>
  </si>
  <si>
    <t>20000370</t>
  </si>
  <si>
    <t>20000371</t>
  </si>
  <si>
    <t>20000372</t>
  </si>
  <si>
    <t>20000373</t>
  </si>
  <si>
    <t>20000374</t>
  </si>
  <si>
    <t>20000375</t>
  </si>
  <si>
    <t>20000376</t>
  </si>
  <si>
    <t>20000377</t>
  </si>
  <si>
    <t>20000378</t>
  </si>
  <si>
    <t>20000379</t>
  </si>
  <si>
    <t>20000380</t>
  </si>
  <si>
    <t>20000381</t>
  </si>
  <si>
    <t>20000382</t>
  </si>
  <si>
    <t>20000383</t>
  </si>
  <si>
    <t>20000384</t>
  </si>
  <si>
    <t>20000385</t>
  </si>
  <si>
    <t>20000386</t>
  </si>
  <si>
    <t>20000387</t>
  </si>
  <si>
    <t>20000388</t>
  </si>
  <si>
    <t>20000389</t>
  </si>
  <si>
    <t>20000390</t>
  </si>
  <si>
    <t>20000391</t>
  </si>
  <si>
    <t>20000392</t>
  </si>
  <si>
    <t>20000393</t>
  </si>
  <si>
    <t>20000394</t>
  </si>
  <si>
    <t>20000395</t>
  </si>
  <si>
    <t>20000396</t>
  </si>
  <si>
    <t>20000397</t>
  </si>
  <si>
    <t>20000398</t>
  </si>
  <si>
    <t>20000399</t>
  </si>
  <si>
    <t>20000400</t>
  </si>
  <si>
    <t>20000401</t>
  </si>
  <si>
    <t>20000402</t>
  </si>
  <si>
    <t>20000403</t>
  </si>
  <si>
    <t>20000404</t>
  </si>
  <si>
    <t>20000405</t>
  </si>
  <si>
    <t>20000406</t>
  </si>
  <si>
    <t>20000407</t>
  </si>
  <si>
    <t>20000408</t>
  </si>
  <si>
    <t>20000409</t>
  </si>
  <si>
    <t>20000410</t>
  </si>
  <si>
    <t>20000411</t>
  </si>
  <si>
    <t>20000412</t>
  </si>
  <si>
    <t>20000413</t>
  </si>
  <si>
    <t>20000414</t>
  </si>
  <si>
    <t>20000415</t>
  </si>
  <si>
    <t>20000416</t>
  </si>
  <si>
    <t>20000417</t>
  </si>
  <si>
    <t>20000418</t>
  </si>
  <si>
    <t>20000419</t>
  </si>
  <si>
    <t>20000420</t>
  </si>
  <si>
    <t>20000421</t>
  </si>
  <si>
    <t>20000422</t>
  </si>
  <si>
    <t>20000423</t>
  </si>
  <si>
    <t>20000424</t>
  </si>
  <si>
    <t>20000425</t>
  </si>
  <si>
    <t>20000426</t>
  </si>
  <si>
    <t>20000427</t>
  </si>
  <si>
    <t>20000428</t>
  </si>
  <si>
    <t>20000429</t>
  </si>
  <si>
    <t>20000430</t>
  </si>
  <si>
    <t>20000431</t>
  </si>
  <si>
    <t>20000432</t>
  </si>
  <si>
    <t>20000433</t>
  </si>
  <si>
    <t>20000434</t>
  </si>
  <si>
    <t>20000435</t>
  </si>
  <si>
    <t>20000436</t>
  </si>
  <si>
    <t>20000437</t>
  </si>
  <si>
    <t>20000438</t>
  </si>
  <si>
    <t>20000439</t>
  </si>
  <si>
    <t>20000440</t>
  </si>
  <si>
    <t>20000441</t>
  </si>
  <si>
    <t>20000442</t>
  </si>
  <si>
    <t>20000443</t>
  </si>
  <si>
    <t>20000444</t>
  </si>
  <si>
    <t>20000445</t>
  </si>
  <si>
    <t>20000446</t>
  </si>
  <si>
    <t>20000447</t>
  </si>
  <si>
    <t>20000448</t>
  </si>
  <si>
    <t>20000449</t>
  </si>
  <si>
    <t>20000450</t>
  </si>
  <si>
    <t>20000451</t>
  </si>
  <si>
    <t>20000452</t>
  </si>
  <si>
    <t>20000453</t>
  </si>
  <si>
    <t>20000454</t>
  </si>
  <si>
    <t>20000455</t>
  </si>
  <si>
    <t>20000456</t>
  </si>
  <si>
    <t>20000457</t>
  </si>
  <si>
    <t>20000458</t>
  </si>
  <si>
    <t>20000459</t>
  </si>
  <si>
    <t>20000460</t>
  </si>
  <si>
    <t>20000461</t>
  </si>
  <si>
    <t>20000462</t>
  </si>
  <si>
    <t>20000463</t>
  </si>
  <si>
    <t>20000464</t>
  </si>
  <si>
    <t>20000465</t>
  </si>
  <si>
    <t>20000466</t>
  </si>
  <si>
    <t>20000467</t>
  </si>
  <si>
    <t>20000468</t>
  </si>
  <si>
    <t>20000469</t>
  </si>
  <si>
    <t>20000470</t>
  </si>
  <si>
    <t>20000471</t>
  </si>
  <si>
    <t>20000472</t>
  </si>
  <si>
    <t>20000473</t>
  </si>
  <si>
    <t>20000474</t>
  </si>
  <si>
    <t>20000475</t>
  </si>
  <si>
    <t>20000476</t>
  </si>
  <si>
    <t>20000477</t>
  </si>
  <si>
    <t>20000478</t>
  </si>
  <si>
    <t>20000479</t>
  </si>
  <si>
    <t>20000480</t>
  </si>
  <si>
    <t>20000481</t>
  </si>
  <si>
    <t>20000482</t>
  </si>
  <si>
    <t>20000483</t>
  </si>
  <si>
    <t>20000484</t>
  </si>
  <si>
    <t>20000485</t>
  </si>
  <si>
    <t>20000486</t>
  </si>
  <si>
    <t>20000487</t>
  </si>
  <si>
    <t>20000488</t>
  </si>
  <si>
    <t>20000489</t>
  </si>
  <si>
    <t>20000490</t>
  </si>
  <si>
    <t>20000491</t>
  </si>
  <si>
    <t>20000492</t>
  </si>
  <si>
    <t>사원번호</t>
  </si>
  <si>
    <t>이름</t>
  </si>
  <si>
    <t>SCM팀</t>
  </si>
  <si>
    <t>이현주</t>
  </si>
  <si>
    <t>도복순</t>
  </si>
  <si>
    <t>노상균</t>
  </si>
  <si>
    <t>사업담당</t>
  </si>
  <si>
    <t>강정호</t>
  </si>
  <si>
    <t>최정민</t>
  </si>
  <si>
    <t>박태용</t>
  </si>
  <si>
    <t>이도훈</t>
  </si>
  <si>
    <t>소순만</t>
  </si>
  <si>
    <t>20000009</t>
  </si>
  <si>
    <t>이돈수</t>
  </si>
  <si>
    <t>권유석</t>
  </si>
  <si>
    <t>주양중</t>
  </si>
  <si>
    <t>허세화</t>
  </si>
  <si>
    <t>성은주</t>
  </si>
  <si>
    <t>안주희</t>
  </si>
  <si>
    <t>김현일</t>
  </si>
  <si>
    <t>박유배</t>
  </si>
  <si>
    <t>제품개발담당</t>
  </si>
  <si>
    <t>김산홍</t>
  </si>
  <si>
    <t>성재웅</t>
  </si>
  <si>
    <t>설계1팀</t>
  </si>
  <si>
    <t>여승진</t>
  </si>
  <si>
    <t>박준영</t>
  </si>
  <si>
    <t>설계2팀</t>
  </si>
  <si>
    <t>20000026</t>
  </si>
  <si>
    <t>이호섭</t>
  </si>
  <si>
    <t>차승현</t>
  </si>
  <si>
    <t>20000028</t>
  </si>
  <si>
    <t>백승호</t>
  </si>
  <si>
    <t>노상훈</t>
  </si>
  <si>
    <t>재무기획팀</t>
  </si>
  <si>
    <t>장승원</t>
  </si>
  <si>
    <t>노정호</t>
  </si>
  <si>
    <t>강완규</t>
  </si>
  <si>
    <t>김덕준</t>
  </si>
  <si>
    <t>이진아</t>
  </si>
  <si>
    <t>박영건</t>
  </si>
  <si>
    <t>김민선</t>
  </si>
  <si>
    <t>이상훈</t>
  </si>
  <si>
    <t>상품기획파트</t>
  </si>
  <si>
    <t>조영아</t>
  </si>
  <si>
    <t>이승용</t>
  </si>
  <si>
    <t>20000042</t>
  </si>
  <si>
    <t>정연호</t>
  </si>
  <si>
    <t>허예진</t>
  </si>
  <si>
    <t>박도우</t>
  </si>
  <si>
    <t>손선규</t>
  </si>
  <si>
    <t>유상민</t>
  </si>
  <si>
    <t>이선희</t>
  </si>
  <si>
    <t>김도연</t>
  </si>
  <si>
    <t>이정수</t>
  </si>
  <si>
    <t>고재홍</t>
  </si>
  <si>
    <t>조용탁</t>
  </si>
  <si>
    <t>조주현</t>
  </si>
  <si>
    <t>박상현</t>
  </si>
  <si>
    <t>김성욱</t>
  </si>
  <si>
    <t>선행개발팀</t>
  </si>
  <si>
    <t>이동기</t>
  </si>
  <si>
    <t>권재학</t>
  </si>
  <si>
    <t>20000061</t>
  </si>
  <si>
    <t>김성준</t>
  </si>
  <si>
    <t>박성현</t>
  </si>
  <si>
    <t>송시연</t>
  </si>
  <si>
    <t>황찬규</t>
  </si>
  <si>
    <t>20000066</t>
  </si>
  <si>
    <t>최수임</t>
  </si>
  <si>
    <t>반기환</t>
  </si>
  <si>
    <t>박용준</t>
  </si>
  <si>
    <t>오택준</t>
  </si>
  <si>
    <t>황영주</t>
  </si>
  <si>
    <t>이관주</t>
  </si>
  <si>
    <t>서정일</t>
  </si>
  <si>
    <t>20000075</t>
  </si>
  <si>
    <t>남형주</t>
  </si>
  <si>
    <t>유명석</t>
  </si>
  <si>
    <t>20000077</t>
  </si>
  <si>
    <t>윤성욱</t>
  </si>
  <si>
    <t>설현수</t>
  </si>
  <si>
    <t>마평식</t>
  </si>
  <si>
    <t>박천위</t>
  </si>
  <si>
    <t>이명호</t>
  </si>
  <si>
    <t>정기선</t>
  </si>
  <si>
    <t>이표현</t>
  </si>
  <si>
    <t>이유진</t>
  </si>
  <si>
    <t>김경환</t>
  </si>
  <si>
    <t>김영민</t>
  </si>
  <si>
    <t>임재호</t>
  </si>
  <si>
    <t>정찬경</t>
  </si>
  <si>
    <t>가학진</t>
  </si>
  <si>
    <t>20000094</t>
  </si>
  <si>
    <t>김진호</t>
  </si>
  <si>
    <t>이승화</t>
  </si>
  <si>
    <t>변지수</t>
  </si>
  <si>
    <t>백인철</t>
  </si>
  <si>
    <t>장진웅</t>
  </si>
  <si>
    <t>최성민</t>
  </si>
  <si>
    <t>유제열</t>
  </si>
  <si>
    <t>20000101</t>
  </si>
  <si>
    <t>정수민</t>
  </si>
  <si>
    <t>이정호</t>
  </si>
  <si>
    <t>임나영</t>
  </si>
  <si>
    <t>20000105</t>
  </si>
  <si>
    <t>DB글로벌칩</t>
  </si>
  <si>
    <t>황규철</t>
  </si>
  <si>
    <t>경영지원실</t>
  </si>
  <si>
    <t>김광수</t>
  </si>
  <si>
    <t>김성빈</t>
  </si>
  <si>
    <t>신현진</t>
  </si>
  <si>
    <t>20000110</t>
  </si>
  <si>
    <t>PANSHIQIANG</t>
  </si>
  <si>
    <t>김희준</t>
  </si>
  <si>
    <t>이장현</t>
  </si>
  <si>
    <t>양우선</t>
  </si>
  <si>
    <t>20000115</t>
  </si>
  <si>
    <t>정다미</t>
  </si>
  <si>
    <t>경명근</t>
  </si>
  <si>
    <t>김수민</t>
  </si>
  <si>
    <t>권성재</t>
  </si>
  <si>
    <t>신창희</t>
  </si>
  <si>
    <t>20000120</t>
  </si>
  <si>
    <t>김대용</t>
  </si>
  <si>
    <t>왕단</t>
  </si>
  <si>
    <t>최민</t>
  </si>
  <si>
    <t>윤신</t>
  </si>
  <si>
    <t>김도현</t>
  </si>
  <si>
    <t>정중연</t>
  </si>
  <si>
    <t>20000127</t>
  </si>
  <si>
    <t>송치호</t>
  </si>
  <si>
    <t>20000128</t>
  </si>
  <si>
    <t>이동훈</t>
  </si>
  <si>
    <t>조민준</t>
  </si>
  <si>
    <t>이승민</t>
  </si>
  <si>
    <t>유기웅</t>
  </si>
  <si>
    <t>20000132</t>
  </si>
  <si>
    <t>최세진</t>
  </si>
  <si>
    <t>20000133</t>
  </si>
  <si>
    <t>표명호</t>
  </si>
  <si>
    <t>20000135</t>
  </si>
  <si>
    <t>김인호</t>
  </si>
  <si>
    <t>천승우</t>
  </si>
  <si>
    <t>변아름</t>
  </si>
  <si>
    <t>인병화</t>
  </si>
  <si>
    <t>박종훈</t>
  </si>
  <si>
    <t>김승중</t>
  </si>
  <si>
    <t>20000143</t>
  </si>
  <si>
    <t>ZHANGLIANG</t>
  </si>
  <si>
    <t>이경원</t>
  </si>
  <si>
    <t>윤성탁</t>
  </si>
  <si>
    <t>20000147</t>
  </si>
  <si>
    <t>김미로</t>
  </si>
  <si>
    <t>정호용</t>
  </si>
  <si>
    <t>20000150</t>
  </si>
  <si>
    <t>LINJESSIE</t>
  </si>
  <si>
    <t>20000153</t>
  </si>
  <si>
    <t>김영기</t>
  </si>
  <si>
    <t>김민건</t>
  </si>
  <si>
    <t>전략마케팅팀</t>
  </si>
  <si>
    <t>배윤미</t>
  </si>
  <si>
    <t>20000156</t>
  </si>
  <si>
    <t>김상용</t>
  </si>
  <si>
    <t>20000157</t>
  </si>
  <si>
    <t>노상우</t>
  </si>
  <si>
    <t>20000159</t>
  </si>
  <si>
    <t>양인범</t>
  </si>
  <si>
    <t>20000162</t>
  </si>
  <si>
    <t>하창우</t>
  </si>
  <si>
    <t>20000165</t>
  </si>
  <si>
    <t>박지홍</t>
  </si>
  <si>
    <t>20000169</t>
  </si>
  <si>
    <t>이일수</t>
  </si>
  <si>
    <t>20000175</t>
  </si>
  <si>
    <t>김동균</t>
  </si>
  <si>
    <t>20000198</t>
  </si>
  <si>
    <t>20000199</t>
  </si>
  <si>
    <t>20000201</t>
  </si>
  <si>
    <t>20000202</t>
  </si>
  <si>
    <t>20000203</t>
  </si>
  <si>
    <t>20000212</t>
  </si>
  <si>
    <t>20000221</t>
  </si>
  <si>
    <t>20000222</t>
  </si>
  <si>
    <t>20000226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</si>
</sst>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#,###,###,###,###,##0.###"/>
    <numFmt numFmtId="177" formatCode="#,###,###,###,##0.###"/>
    <numFmt numFmtId="178" formatCode="00000000"/>
  </numFmts>
  <fonts count="2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175DBE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rgb="FF497878"/>
      <name val="돋움"/>
      <family val="3"/>
      <charset val="129"/>
    </font>
    <font>
      <sz val="9"/>
      <color rgb="FF666666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15"/>
      <color rgb="FF808080"/>
      <name val="HY헤드라인M"/>
      <family val="1"/>
      <charset val="129"/>
    </font>
    <font>
      <b/>
      <sz val="9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F5F5"/>
        <bgColor rgb="FFF1F5F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 style="thin">
        <color rgb="FFE2DBD0"/>
      </right>
      <top style="thin">
        <color rgb="FFE2DBD0"/>
      </top>
      <bottom style="thin">
        <color rgb="FFE2DBD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 style="thin">
        <color rgb="FFE2DBD0"/>
      </right>
      <top/>
      <bottom style="thin">
        <color rgb="FFE2DBD0"/>
      </bottom>
      <diagonal/>
    </border>
    <border>
      <left/>
      <right style="thin">
        <color rgb="FFE2DBD0"/>
      </right>
      <top style="thin">
        <color rgb="FFE2DBD0"/>
      </top>
      <bottom/>
      <diagonal/>
    </border>
    <border>
      <left style="thin">
        <color rgb="FFE2DBD0"/>
      </left>
      <right/>
      <top/>
      <bottom style="thin">
        <color rgb="FFE2DBD0"/>
      </bottom>
      <diagonal/>
    </border>
    <border>
      <left/>
      <right style="thin">
        <color rgb="FFE2DBD0"/>
      </right>
      <top/>
      <bottom style="thin">
        <color rgb="FFE2DBD0"/>
      </bottom>
      <diagonal/>
    </border>
    <border>
      <left/>
      <right/>
      <top style="thin">
        <color rgb="FF2E7B7C"/>
      </top>
      <bottom style="thin">
        <color rgb="FFD2D2D1"/>
      </bottom>
      <diagonal/>
    </border>
    <border>
      <left/>
      <right/>
      <top style="thin">
        <color rgb="FFD2D2D1"/>
      </top>
      <bottom style="thin">
        <color rgb="FFD2D2D1"/>
      </bottom>
      <diagonal/>
    </border>
    <border>
      <left/>
      <right/>
      <top style="thin">
        <color rgb="FFE2DBD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4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76">
    <xf numFmtId="0" fontId="0" fillId="0" borderId="0" xfId="0" applyAlignment="1">
      <alignment vertical="center"/>
    </xf>
    <xf numFmtId="49" fontId="8" fillId="2" borderId="2" xfId="0" applyNumberFormat="1" applyFont="1" applyFill="1" applyBorder="1" applyAlignment="1">
      <alignment horizontal="left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5" fillId="5" borderId="0" xfId="0" applyFont="1" applyFill="1" applyAlignment="1">
      <alignment vertical="center"/>
    </xf>
    <xf numFmtId="3" fontId="5" fillId="5" borderId="0" xfId="0" applyNumberFormat="1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5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9" fontId="14" fillId="8" borderId="10" xfId="0" applyNumberFormat="1" applyFont="1" applyFill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left" vertical="center" wrapText="1"/>
    </xf>
    <xf numFmtId="49" fontId="15" fillId="0" borderId="11" xfId="0" applyNumberFormat="1" applyFont="1" applyBorder="1" applyAlignment="1">
      <alignment horizontal="right" vertical="center" wrapText="1"/>
    </xf>
    <xf numFmtId="3" fontId="15" fillId="0" borderId="11" xfId="0" applyNumberFormat="1" applyFont="1" applyBorder="1" applyAlignment="1">
      <alignment horizontal="right" vertical="center" wrapText="1"/>
    </xf>
    <xf numFmtId="49" fontId="17" fillId="0" borderId="0" xfId="0" applyNumberFormat="1" applyFont="1" applyAlignment="1">
      <alignment horizontal="left" vertical="center" wrapText="1"/>
    </xf>
    <xf numFmtId="3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15" fillId="0" borderId="11" xfId="0" applyFont="1" applyBorder="1" applyAlignment="1">
      <alignment horizontal="right" vertical="center" wrapText="1"/>
    </xf>
    <xf numFmtId="0" fontId="15" fillId="0" borderId="11" xfId="0" applyFont="1" applyBorder="1" applyAlignment="1">
      <alignment horizontal="center" vertical="center" wrapText="1"/>
    </xf>
    <xf numFmtId="0" fontId="2" fillId="0" borderId="0" xfId="8" applyFont="1" applyAlignment="1">
      <alignment vertical="center"/>
    </xf>
    <xf numFmtId="49" fontId="2" fillId="0" borderId="0" xfId="8" applyNumberFormat="1" applyFont="1" applyAlignment="1">
      <alignment vertical="center"/>
    </xf>
    <xf numFmtId="49" fontId="5" fillId="0" borderId="0" xfId="8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8" applyFont="1" applyAlignment="1">
      <alignment vertical="center"/>
    </xf>
    <xf numFmtId="3" fontId="5" fillId="0" borderId="0" xfId="8" applyNumberFormat="1" applyFont="1" applyAlignment="1">
      <alignment vertical="center"/>
    </xf>
    <xf numFmtId="0" fontId="5" fillId="0" borderId="0" xfId="5" applyFont="1" applyAlignment="1">
      <alignment vertical="center"/>
    </xf>
    <xf numFmtId="0" fontId="5" fillId="7" borderId="0" xfId="8" applyFont="1" applyFill="1" applyAlignment="1">
      <alignment vertical="center"/>
    </xf>
    <xf numFmtId="49" fontId="5" fillId="7" borderId="0" xfId="8" applyNumberFormat="1" applyFont="1" applyFill="1" applyAlignment="1">
      <alignment vertical="center"/>
    </xf>
    <xf numFmtId="3" fontId="5" fillId="7" borderId="0" xfId="8" applyNumberFormat="1" applyFont="1" applyFill="1" applyAlignment="1">
      <alignment vertical="center"/>
    </xf>
    <xf numFmtId="3" fontId="19" fillId="7" borderId="0" xfId="8" applyNumberFormat="1" applyFont="1" applyFill="1" applyAlignment="1">
      <alignment vertical="center"/>
    </xf>
    <xf numFmtId="3" fontId="19" fillId="0" borderId="0" xfId="8" applyNumberFormat="1" applyFont="1" applyAlignment="1">
      <alignment vertical="center"/>
    </xf>
    <xf numFmtId="0" fontId="0" fillId="0" borderId="0" xfId="0" applyAlignment="1"/>
    <xf numFmtId="41" fontId="10" fillId="0" borderId="1" xfId="1" applyFont="1" applyBorder="1" applyAlignment="1">
      <alignment horizontal="center" vertical="center"/>
    </xf>
    <xf numFmtId="41" fontId="11" fillId="0" borderId="1" xfId="0" applyNumberFormat="1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177" fontId="5" fillId="0" borderId="0" xfId="0" applyNumberFormat="1" applyFont="1" applyAlignment="1">
      <alignment vertical="center"/>
    </xf>
    <xf numFmtId="178" fontId="5" fillId="0" borderId="0" xfId="0" applyNumberFormat="1" applyFont="1" applyAlignment="1">
      <alignment vertical="center"/>
    </xf>
    <xf numFmtId="41" fontId="5" fillId="0" borderId="0" xfId="1" applyFont="1" applyAlignment="1">
      <alignment vertical="center"/>
    </xf>
    <xf numFmtId="176" fontId="5" fillId="5" borderId="0" xfId="0" applyNumberFormat="1" applyFont="1" applyFill="1" applyAlignment="1">
      <alignment vertical="center"/>
    </xf>
    <xf numFmtId="41" fontId="5" fillId="7" borderId="0" xfId="1" applyFont="1" applyFill="1" applyAlignment="1">
      <alignment vertical="center"/>
    </xf>
    <xf numFmtId="41" fontId="1" fillId="0" borderId="0" xfId="1" applyFont="1" applyAlignment="1">
      <alignment vertical="center"/>
    </xf>
    <xf numFmtId="41" fontId="4" fillId="0" borderId="0" xfId="1" applyAlignment="1">
      <alignment vertical="center"/>
    </xf>
    <xf numFmtId="178" fontId="4" fillId="0" borderId="0" xfId="5" applyNumberFormat="1" applyFont="1" applyAlignment="1">
      <alignment horizontal="center" vertical="center"/>
    </xf>
    <xf numFmtId="41" fontId="4" fillId="0" borderId="0" xfId="0" applyNumberFormat="1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13" xfId="0" applyBorder="1" applyAlignment="1"/>
    <xf numFmtId="49" fontId="12" fillId="6" borderId="2" xfId="0" applyNumberFormat="1" applyFont="1" applyFill="1" applyBorder="1" applyAlignment="1">
      <alignment horizontal="center" vertical="center" wrapText="1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6" xfId="0" applyBorder="1" applyAlignment="1"/>
    <xf numFmtId="49" fontId="5" fillId="0" borderId="12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18" fillId="0" borderId="11" xfId="0" applyNumberFormat="1" applyFont="1" applyBorder="1" applyAlignment="1">
      <alignment horizontal="center" vertical="center" wrapText="1"/>
    </xf>
    <xf numFmtId="0" fontId="0" fillId="0" borderId="11" xfId="0" applyBorder="1" applyAlignment="1"/>
    <xf numFmtId="49" fontId="16" fillId="0" borderId="0" xfId="0" applyNumberFormat="1" applyFont="1" applyAlignment="1">
      <alignment horizontal="right" vertical="center" wrapText="1"/>
    </xf>
    <xf numFmtId="0" fontId="0" fillId="0" borderId="0" xfId="0" applyAlignment="1"/>
    <xf numFmtId="49" fontId="15" fillId="0" borderId="0" xfId="0" applyNumberFormat="1" applyFont="1" applyAlignment="1">
      <alignment horizontal="right" vertical="center" wrapText="1"/>
    </xf>
  </cellXfs>
  <cellStyles count="9">
    <cellStyle name="쉼표 [0]" xfId="1" builtinId="6"/>
    <cellStyle name="쉼표 [0] 2" xfId="6" xr:uid="{00000000-0005-0000-0000-000006000000}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표준 6" xfId="7" xr:uid="{00000000-0005-0000-0000-000007000000}"/>
    <cellStyle name="표준 7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0</xdr:rowOff>
    </xdr:from>
    <xdr:to>
      <xdr:col>15</xdr:col>
      <xdr:colOff>0</xdr:colOff>
      <xdr:row>59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16375"/>
          <a:ext cx="10106025" cy="428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&#47588;&#45684;&#50620;/&#54637;&#44277;&#44428;%20&#44208;&#51228;&#45236;&#50669;%20&#51221;&#49328;(4&#50900;&#48516;)_2404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5&#45380;%2012&#50900;/&#51064;&#50896;&#54788;&#54889;2025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6&#45380;%2003&#50900;/&#51064;&#50896;&#47749;&#48512;_3&#5090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5&#45380;%2012&#50900;/&#51064;&#50896;&#54788;&#54868;&#12627;&#1261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내역"/>
      <sheetName val="e-DAHS 전표내역"/>
      <sheetName val="이용대금상세내역(9224)"/>
      <sheetName val="발권내역(세중)"/>
      <sheetName val="영문, 국문명"/>
      <sheetName val="사번,소속,이름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사원번호</v>
          </cell>
          <cell r="B1" t="str">
            <v>부서명</v>
          </cell>
          <cell r="C1" t="str">
            <v>이름</v>
          </cell>
        </row>
        <row r="2">
          <cell r="A2"/>
          <cell r="B2"/>
          <cell r="C2"/>
        </row>
        <row r="3">
          <cell r="A3" t="str">
            <v>20000105</v>
          </cell>
          <cell r="B3" t="str">
            <v>DB글로벌칩</v>
          </cell>
          <cell r="C3" t="str">
            <v>황규철</v>
          </cell>
        </row>
        <row r="4">
          <cell r="A4" t="str">
            <v>20000004</v>
          </cell>
          <cell r="B4" t="str">
            <v>사업담당</v>
          </cell>
          <cell r="C4" t="str">
            <v>강정호</v>
          </cell>
        </row>
        <row r="5">
          <cell r="A5" t="str">
            <v>20000010</v>
          </cell>
          <cell r="B5" t="str">
            <v>영업팀</v>
          </cell>
          <cell r="C5" t="str">
            <v>권유석</v>
          </cell>
        </row>
        <row r="6">
          <cell r="A6" t="str">
            <v>20000066</v>
          </cell>
          <cell r="B6" t="str">
            <v>영업팀</v>
          </cell>
          <cell r="C6" t="str">
            <v>김명관</v>
          </cell>
        </row>
        <row r="7">
          <cell r="A7" t="str">
            <v>20000154</v>
          </cell>
          <cell r="B7" t="str">
            <v>영업팀</v>
          </cell>
          <cell r="C7" t="str">
            <v>김민건</v>
          </cell>
        </row>
        <row r="8">
          <cell r="A8" t="str">
            <v>20000134</v>
          </cell>
          <cell r="B8" t="str">
            <v>영업팀</v>
          </cell>
          <cell r="C8" t="str">
            <v>이상태</v>
          </cell>
        </row>
        <row r="9">
          <cell r="A9" t="str">
            <v>20000150</v>
          </cell>
          <cell r="B9" t="str">
            <v>영업팀</v>
          </cell>
          <cell r="C9" t="str">
            <v>LINJESSIE</v>
          </cell>
        </row>
        <row r="10">
          <cell r="A10" t="str">
            <v>20000110</v>
          </cell>
          <cell r="B10" t="str">
            <v>영업팀</v>
          </cell>
          <cell r="C10" t="str">
            <v>PANSHIQIANG</v>
          </cell>
        </row>
        <row r="11">
          <cell r="A11" t="str">
            <v>20000151</v>
          </cell>
          <cell r="B11" t="str">
            <v>영업팀</v>
          </cell>
          <cell r="C11" t="str">
            <v>김형호</v>
          </cell>
        </row>
        <row r="12">
          <cell r="A12" t="str">
            <v>20000042</v>
          </cell>
          <cell r="B12" t="str">
            <v>영업팀</v>
          </cell>
          <cell r="C12" t="str">
            <v>신순연</v>
          </cell>
        </row>
        <row r="13">
          <cell r="A13" t="str">
            <v>20000067</v>
          </cell>
          <cell r="B13" t="str">
            <v>영업팀</v>
          </cell>
          <cell r="C13" t="str">
            <v>최수임</v>
          </cell>
        </row>
        <row r="14">
          <cell r="A14" t="str">
            <v>20000143</v>
          </cell>
          <cell r="B14" t="str">
            <v>영업팀</v>
          </cell>
          <cell r="C14" t="str">
            <v>ZHANGLIANG</v>
          </cell>
        </row>
        <row r="15">
          <cell r="A15" t="str">
            <v>20000103</v>
          </cell>
          <cell r="B15" t="str">
            <v>영업팀</v>
          </cell>
          <cell r="C15" t="str">
            <v>정겨운</v>
          </cell>
        </row>
        <row r="16">
          <cell r="A16" t="str">
            <v>20000005</v>
          </cell>
          <cell r="B16" t="str">
            <v>SCM팀</v>
          </cell>
          <cell r="C16" t="str">
            <v>최정민</v>
          </cell>
        </row>
        <row r="17">
          <cell r="A17" t="str">
            <v>20000017</v>
          </cell>
          <cell r="B17" t="str">
            <v>SCM팀</v>
          </cell>
          <cell r="C17" t="str">
            <v>김현일</v>
          </cell>
        </row>
        <row r="18">
          <cell r="A18" t="str">
            <v>20000015</v>
          </cell>
          <cell r="B18" t="str">
            <v>SCM팀</v>
          </cell>
          <cell r="C18" t="str">
            <v>성은주</v>
          </cell>
        </row>
        <row r="19">
          <cell r="A19" t="str">
            <v>20000016</v>
          </cell>
          <cell r="B19" t="str">
            <v>SCM팀</v>
          </cell>
          <cell r="C19" t="str">
            <v>안주희</v>
          </cell>
        </row>
        <row r="20">
          <cell r="A20" t="str">
            <v>20000014</v>
          </cell>
          <cell r="B20" t="str">
            <v>SCM팀</v>
          </cell>
          <cell r="C20" t="str">
            <v>허세화</v>
          </cell>
        </row>
        <row r="21">
          <cell r="A21" t="str">
            <v>20000032</v>
          </cell>
          <cell r="B21" t="str">
            <v>SCM팀</v>
          </cell>
          <cell r="C21" t="str">
            <v>노정호</v>
          </cell>
        </row>
        <row r="22">
          <cell r="A22" t="str">
            <v>20000002</v>
          </cell>
          <cell r="B22" t="str">
            <v>SCM팀</v>
          </cell>
          <cell r="C22" t="str">
            <v>도복순</v>
          </cell>
        </row>
        <row r="23">
          <cell r="A23" t="str">
            <v>20000049</v>
          </cell>
          <cell r="B23" t="str">
            <v>SCM팀</v>
          </cell>
          <cell r="C23" t="str">
            <v>이선희</v>
          </cell>
        </row>
        <row r="24">
          <cell r="A24" t="str">
            <v>20000001</v>
          </cell>
          <cell r="B24" t="str">
            <v>SCM팀</v>
          </cell>
          <cell r="C24" t="str">
            <v>이현주</v>
          </cell>
        </row>
        <row r="25">
          <cell r="A25" t="str">
            <v>20000026</v>
          </cell>
          <cell r="B25" t="str">
            <v>SCM팀</v>
          </cell>
          <cell r="C25" t="str">
            <v>이호섭</v>
          </cell>
        </row>
        <row r="26">
          <cell r="A26" t="str">
            <v>20000054</v>
          </cell>
          <cell r="B26" t="str">
            <v>SCM팀</v>
          </cell>
          <cell r="C26" t="str">
            <v>조용탁</v>
          </cell>
        </row>
        <row r="27">
          <cell r="A27" t="str">
            <v>20000027</v>
          </cell>
          <cell r="B27" t="str">
            <v>SCM팀</v>
          </cell>
          <cell r="C27" t="str">
            <v>차승현</v>
          </cell>
        </row>
        <row r="28">
          <cell r="A28" t="str">
            <v>20000166</v>
          </cell>
          <cell r="B28" t="str">
            <v>SCM팀</v>
          </cell>
          <cell r="C28" t="str">
            <v>강동균</v>
          </cell>
        </row>
        <row r="29">
          <cell r="A29" t="str">
            <v>20000096</v>
          </cell>
          <cell r="B29" t="str">
            <v>SCM팀</v>
          </cell>
          <cell r="C29" t="str">
            <v>변지수</v>
          </cell>
        </row>
        <row r="30">
          <cell r="A30" t="str">
            <v>20000112</v>
          </cell>
          <cell r="B30" t="str">
            <v>SCM팀</v>
          </cell>
          <cell r="C30" t="str">
            <v>이장현</v>
          </cell>
        </row>
        <row r="31">
          <cell r="A31" t="str">
            <v>20000167</v>
          </cell>
          <cell r="B31" t="str">
            <v>SCM팀</v>
          </cell>
          <cell r="C31" t="str">
            <v>최강준</v>
          </cell>
        </row>
        <row r="32">
          <cell r="A32" t="str">
            <v>20000020</v>
          </cell>
          <cell r="B32" t="str">
            <v>제품기술팀</v>
          </cell>
          <cell r="C32" t="str">
            <v>김산홍</v>
          </cell>
        </row>
        <row r="33">
          <cell r="A33" t="str">
            <v>20000057</v>
          </cell>
          <cell r="B33" t="str">
            <v>제품기술팀</v>
          </cell>
          <cell r="C33" t="str">
            <v>김성욱</v>
          </cell>
        </row>
        <row r="34">
          <cell r="A34" t="str">
            <v>20000029</v>
          </cell>
          <cell r="B34" t="str">
            <v>제품기술팀</v>
          </cell>
          <cell r="C34" t="str">
            <v>노상훈</v>
          </cell>
        </row>
        <row r="35">
          <cell r="A35" t="str">
            <v>20000018</v>
          </cell>
          <cell r="B35" t="str">
            <v>제품기술팀</v>
          </cell>
          <cell r="C35" t="str">
            <v>박유배</v>
          </cell>
        </row>
        <row r="36">
          <cell r="A36" t="str">
            <v>20000008</v>
          </cell>
          <cell r="B36" t="str">
            <v>제품기술팀</v>
          </cell>
          <cell r="C36" t="str">
            <v>소순만</v>
          </cell>
        </row>
        <row r="37">
          <cell r="A37" t="str">
            <v>20000047</v>
          </cell>
          <cell r="B37" t="str">
            <v>제품기술팀</v>
          </cell>
          <cell r="C37" t="str">
            <v>손선규</v>
          </cell>
        </row>
        <row r="38">
          <cell r="A38" t="str">
            <v>20000048</v>
          </cell>
          <cell r="B38" t="str">
            <v>제품기술팀</v>
          </cell>
          <cell r="C38" t="str">
            <v>유상민</v>
          </cell>
        </row>
        <row r="39">
          <cell r="A39" t="str">
            <v>20000055</v>
          </cell>
          <cell r="B39" t="str">
            <v>제품기술팀</v>
          </cell>
          <cell r="C39" t="str">
            <v>조주현</v>
          </cell>
        </row>
        <row r="40">
          <cell r="A40" t="str">
            <v>20000120</v>
          </cell>
          <cell r="B40" t="str">
            <v>제품기술팀</v>
          </cell>
          <cell r="C40" t="str">
            <v>김대용</v>
          </cell>
        </row>
        <row r="41">
          <cell r="A41" t="str">
            <v>20000063</v>
          </cell>
          <cell r="B41" t="str">
            <v>제품기술팀</v>
          </cell>
          <cell r="C41" t="str">
            <v>박성현</v>
          </cell>
        </row>
        <row r="42">
          <cell r="A42" t="str">
            <v>20000097</v>
          </cell>
          <cell r="B42" t="str">
            <v>제품기술팀</v>
          </cell>
          <cell r="C42" t="str">
            <v>백인철</v>
          </cell>
        </row>
        <row r="43">
          <cell r="A43" t="str">
            <v>20000082</v>
          </cell>
          <cell r="B43" t="str">
            <v>제품기술팀</v>
          </cell>
          <cell r="C43" t="str">
            <v>윤추실</v>
          </cell>
        </row>
        <row r="44">
          <cell r="A44" t="str">
            <v>20000153</v>
          </cell>
          <cell r="B44" t="str">
            <v>제품기술팀</v>
          </cell>
          <cell r="C44" t="str">
            <v>김영기</v>
          </cell>
        </row>
        <row r="45">
          <cell r="A45" t="str">
            <v>20000157</v>
          </cell>
          <cell r="B45" t="str">
            <v>제품기술팀</v>
          </cell>
          <cell r="C45" t="str">
            <v>노상우</v>
          </cell>
        </row>
        <row r="46">
          <cell r="A46" t="str">
            <v>20000131</v>
          </cell>
          <cell r="B46" t="str">
            <v>제품기술팀</v>
          </cell>
          <cell r="C46" t="str">
            <v>유기웅</v>
          </cell>
        </row>
        <row r="47">
          <cell r="A47" t="str">
            <v>20000033</v>
          </cell>
          <cell r="B47" t="str">
            <v>품질팀</v>
          </cell>
          <cell r="C47" t="str">
            <v>강완규</v>
          </cell>
        </row>
        <row r="48">
          <cell r="A48" t="str">
            <v>20000060</v>
          </cell>
          <cell r="B48" t="str">
            <v>품질팀</v>
          </cell>
          <cell r="C48" t="str">
            <v>권재학</v>
          </cell>
        </row>
        <row r="49">
          <cell r="A49" t="str">
            <v>20000025</v>
          </cell>
          <cell r="B49" t="str">
            <v>품질팀</v>
          </cell>
          <cell r="C49" t="str">
            <v>김희진</v>
          </cell>
        </row>
        <row r="50">
          <cell r="A50" t="str">
            <v>20000006</v>
          </cell>
          <cell r="B50" t="str">
            <v>품질팀</v>
          </cell>
          <cell r="C50" t="str">
            <v>박태용</v>
          </cell>
        </row>
        <row r="51">
          <cell r="A51" t="str">
            <v>20000021</v>
          </cell>
          <cell r="B51" t="str">
            <v>품질팀</v>
          </cell>
          <cell r="C51" t="str">
            <v>성재웅</v>
          </cell>
        </row>
        <row r="52">
          <cell r="A52" t="str">
            <v>20000062</v>
          </cell>
          <cell r="B52" t="str">
            <v>품질팀</v>
          </cell>
          <cell r="C52" t="str">
            <v>이종래</v>
          </cell>
        </row>
        <row r="53">
          <cell r="A53" t="str">
            <v>20000038</v>
          </cell>
          <cell r="B53" t="str">
            <v>품질팀</v>
          </cell>
          <cell r="C53" t="str">
            <v>김민선</v>
          </cell>
        </row>
        <row r="54">
          <cell r="A54" t="str">
            <v>20000036</v>
          </cell>
          <cell r="B54" t="str">
            <v>품질팀</v>
          </cell>
          <cell r="C54" t="str">
            <v>박영건</v>
          </cell>
        </row>
        <row r="55">
          <cell r="A55" t="str">
            <v>20000069</v>
          </cell>
          <cell r="B55" t="str">
            <v>품질팀</v>
          </cell>
          <cell r="C55" t="str">
            <v>박용준</v>
          </cell>
        </row>
        <row r="56">
          <cell r="A56" t="str">
            <v>20000121</v>
          </cell>
          <cell r="B56" t="str">
            <v>품질팀</v>
          </cell>
          <cell r="C56" t="str">
            <v>왕단</v>
          </cell>
        </row>
        <row r="57">
          <cell r="A57" t="str">
            <v>20000100</v>
          </cell>
          <cell r="B57" t="str">
            <v>품질팀</v>
          </cell>
          <cell r="C57" t="str">
            <v>유제열</v>
          </cell>
        </row>
        <row r="58">
          <cell r="A58" t="str">
            <v>20000095</v>
          </cell>
          <cell r="B58" t="str">
            <v>품질팀</v>
          </cell>
          <cell r="C58" t="str">
            <v>이승화</v>
          </cell>
        </row>
        <row r="59">
          <cell r="A59" t="str">
            <v>20000034</v>
          </cell>
          <cell r="B59" t="str">
            <v>Test팀</v>
          </cell>
          <cell r="C59" t="str">
            <v>김덕준</v>
          </cell>
        </row>
        <row r="60">
          <cell r="A60" t="str">
            <v>20000003</v>
          </cell>
          <cell r="B60" t="str">
            <v>Test팀</v>
          </cell>
          <cell r="C60" t="str">
            <v>노상균</v>
          </cell>
        </row>
        <row r="61">
          <cell r="A61" t="str">
            <v>20000023</v>
          </cell>
          <cell r="B61" t="str">
            <v>Test팀</v>
          </cell>
          <cell r="C61" t="str">
            <v>박준영</v>
          </cell>
        </row>
        <row r="62">
          <cell r="A62" t="str">
            <v>20000007</v>
          </cell>
          <cell r="B62" t="str">
            <v>Test팀</v>
          </cell>
          <cell r="C62" t="str">
            <v>이도훈</v>
          </cell>
        </row>
        <row r="63">
          <cell r="A63" t="str">
            <v>20000009</v>
          </cell>
          <cell r="B63" t="str">
            <v>Test팀</v>
          </cell>
          <cell r="C63" t="str">
            <v>이돈수</v>
          </cell>
        </row>
        <row r="64">
          <cell r="A64" t="str">
            <v>20000068</v>
          </cell>
          <cell r="B64" t="str">
            <v>Test팀</v>
          </cell>
          <cell r="C64" t="str">
            <v>반기환</v>
          </cell>
        </row>
        <row r="65">
          <cell r="A65" t="str">
            <v>20000126</v>
          </cell>
          <cell r="B65" t="str">
            <v>Test팀</v>
          </cell>
          <cell r="C65" t="str">
            <v>정중연</v>
          </cell>
        </row>
        <row r="66">
          <cell r="A66" t="str">
            <v>20000019</v>
          </cell>
          <cell r="B66" t="str">
            <v>제품개발담당</v>
          </cell>
          <cell r="C66" t="str">
            <v>박정태</v>
          </cell>
        </row>
        <row r="67">
          <cell r="A67" t="str">
            <v>20000053</v>
          </cell>
          <cell r="B67" t="str">
            <v>설계1팀</v>
          </cell>
          <cell r="C67" t="str">
            <v>고재홍</v>
          </cell>
        </row>
        <row r="68">
          <cell r="A68" t="str">
            <v>20000079</v>
          </cell>
          <cell r="B68" t="str">
            <v>설계1팀</v>
          </cell>
          <cell r="C68" t="str">
            <v>마평식</v>
          </cell>
        </row>
        <row r="69">
          <cell r="A69" t="str">
            <v>20000074</v>
          </cell>
          <cell r="B69" t="str">
            <v>설계1팀</v>
          </cell>
          <cell r="C69" t="str">
            <v>서정일</v>
          </cell>
        </row>
        <row r="70">
          <cell r="A70" t="str">
            <v>20000022</v>
          </cell>
          <cell r="B70" t="str">
            <v>설계1팀</v>
          </cell>
          <cell r="C70" t="str">
            <v>여승진</v>
          </cell>
        </row>
        <row r="71">
          <cell r="A71" t="str">
            <v>20000039</v>
          </cell>
          <cell r="B71" t="str">
            <v>설계1팀</v>
          </cell>
          <cell r="C71" t="str">
            <v>이상훈</v>
          </cell>
        </row>
        <row r="72">
          <cell r="A72" t="str">
            <v>20000050</v>
          </cell>
          <cell r="B72" t="str">
            <v>설계1팀</v>
          </cell>
          <cell r="C72" t="str">
            <v>김도연</v>
          </cell>
        </row>
        <row r="73">
          <cell r="A73" t="str">
            <v>20000094</v>
          </cell>
          <cell r="B73" t="str">
            <v>설계1팀</v>
          </cell>
          <cell r="C73" t="str">
            <v>김진호</v>
          </cell>
        </row>
        <row r="74">
          <cell r="A74" t="str">
            <v>20000046</v>
          </cell>
          <cell r="B74" t="str">
            <v>설계1팀</v>
          </cell>
          <cell r="C74" t="str">
            <v>박도우</v>
          </cell>
        </row>
        <row r="75">
          <cell r="A75" t="str">
            <v>20000084</v>
          </cell>
          <cell r="B75" t="str">
            <v>설계1팀</v>
          </cell>
          <cell r="C75" t="str">
            <v>박준영</v>
          </cell>
        </row>
        <row r="76">
          <cell r="A76" t="str">
            <v>20000081</v>
          </cell>
          <cell r="B76" t="str">
            <v>설계1팀</v>
          </cell>
          <cell r="C76" t="str">
            <v>박천위</v>
          </cell>
        </row>
        <row r="77">
          <cell r="A77" t="str">
            <v>20000114</v>
          </cell>
          <cell r="B77" t="str">
            <v>설계1팀</v>
          </cell>
          <cell r="C77" t="str">
            <v>양우선</v>
          </cell>
        </row>
        <row r="78">
          <cell r="A78" t="str">
            <v>20000071</v>
          </cell>
          <cell r="B78" t="str">
            <v>설계1팀</v>
          </cell>
          <cell r="C78" t="str">
            <v>오택준</v>
          </cell>
        </row>
        <row r="79">
          <cell r="A79" t="str">
            <v>20000077</v>
          </cell>
          <cell r="B79" t="str">
            <v>설계1팀</v>
          </cell>
          <cell r="C79" t="str">
            <v>윤성욱</v>
          </cell>
        </row>
        <row r="80">
          <cell r="A80" t="str">
            <v>20000073</v>
          </cell>
          <cell r="B80" t="str">
            <v>설계1팀</v>
          </cell>
          <cell r="C80" t="str">
            <v>이관주</v>
          </cell>
        </row>
        <row r="81">
          <cell r="A81" t="str">
            <v>20000083</v>
          </cell>
          <cell r="B81" t="str">
            <v>설계1팀</v>
          </cell>
          <cell r="C81" t="str">
            <v>이명호</v>
          </cell>
        </row>
        <row r="82">
          <cell r="A82" t="str">
            <v>20000041</v>
          </cell>
          <cell r="B82" t="str">
            <v>설계1팀</v>
          </cell>
          <cell r="C82" t="str">
            <v>이승용</v>
          </cell>
        </row>
        <row r="83">
          <cell r="A83" t="str">
            <v>20000102</v>
          </cell>
          <cell r="B83" t="str">
            <v>설계1팀</v>
          </cell>
          <cell r="C83" t="str">
            <v>이정호</v>
          </cell>
        </row>
        <row r="84">
          <cell r="A84" t="str">
            <v>20000140</v>
          </cell>
          <cell r="B84" t="str">
            <v>설계1팀</v>
          </cell>
          <cell r="C84" t="str">
            <v>인병화</v>
          </cell>
        </row>
        <row r="85">
          <cell r="A85" t="str">
            <v>20000098</v>
          </cell>
          <cell r="B85" t="str">
            <v>설계1팀</v>
          </cell>
          <cell r="C85" t="str">
            <v>장진웅</v>
          </cell>
        </row>
        <row r="86">
          <cell r="A86" t="str">
            <v>20000085</v>
          </cell>
          <cell r="B86" t="str">
            <v>설계1팀</v>
          </cell>
          <cell r="C86" t="str">
            <v>정기선</v>
          </cell>
        </row>
        <row r="87">
          <cell r="A87" t="str">
            <v>20000043</v>
          </cell>
          <cell r="B87" t="str">
            <v>설계1팀</v>
          </cell>
          <cell r="C87" t="str">
            <v>정연호</v>
          </cell>
        </row>
        <row r="88">
          <cell r="A88" t="str">
            <v>20000092</v>
          </cell>
          <cell r="B88" t="str">
            <v>설계1팀</v>
          </cell>
          <cell r="C88" t="str">
            <v>정찬경</v>
          </cell>
        </row>
        <row r="89">
          <cell r="A89" t="str">
            <v>20000148</v>
          </cell>
          <cell r="B89" t="str">
            <v>설계1팀</v>
          </cell>
          <cell r="C89" t="str">
            <v>정호용</v>
          </cell>
        </row>
        <row r="90">
          <cell r="A90" t="str">
            <v>20000072</v>
          </cell>
          <cell r="B90" t="str">
            <v>설계1팀</v>
          </cell>
          <cell r="C90" t="str">
            <v>황영주</v>
          </cell>
        </row>
        <row r="91">
          <cell r="A91" t="str">
            <v>20000168</v>
          </cell>
          <cell r="B91" t="str">
            <v>설계1팀</v>
          </cell>
          <cell r="C91" t="str">
            <v>김지원</v>
          </cell>
        </row>
        <row r="92">
          <cell r="A92" t="str">
            <v>20000111</v>
          </cell>
          <cell r="B92" t="str">
            <v>설계1팀</v>
          </cell>
          <cell r="C92" t="str">
            <v>김희준</v>
          </cell>
        </row>
        <row r="93">
          <cell r="A93" t="str">
            <v>20000127</v>
          </cell>
          <cell r="B93" t="str">
            <v>설계1팀</v>
          </cell>
          <cell r="C93" t="str">
            <v>송치호</v>
          </cell>
        </row>
        <row r="94">
          <cell r="A94" t="str">
            <v>20000128</v>
          </cell>
          <cell r="B94" t="str">
            <v>설계1팀</v>
          </cell>
          <cell r="C94" t="str">
            <v>이동훈</v>
          </cell>
        </row>
        <row r="95">
          <cell r="A95" t="str">
            <v>20000169</v>
          </cell>
          <cell r="B95" t="str">
            <v>설계1팀</v>
          </cell>
          <cell r="C95" t="str">
            <v>이일수</v>
          </cell>
        </row>
        <row r="96">
          <cell r="A96" t="str">
            <v>20000129</v>
          </cell>
          <cell r="B96" t="str">
            <v>설계1팀</v>
          </cell>
          <cell r="C96" t="str">
            <v>조민준</v>
          </cell>
        </row>
        <row r="97">
          <cell r="A97" t="str">
            <v>20000119</v>
          </cell>
          <cell r="B97" t="str">
            <v>설계2팀</v>
          </cell>
          <cell r="C97" t="str">
            <v>신창희</v>
          </cell>
        </row>
        <row r="98">
          <cell r="A98" t="str">
            <v>20000024</v>
          </cell>
          <cell r="B98" t="str">
            <v>설계2팀</v>
          </cell>
          <cell r="C98" t="str">
            <v>김기일</v>
          </cell>
        </row>
        <row r="99">
          <cell r="A99" t="str">
            <v>20000175</v>
          </cell>
          <cell r="B99" t="str">
            <v>설계2팀</v>
          </cell>
          <cell r="C99" t="str">
            <v>김동균</v>
          </cell>
        </row>
        <row r="100">
          <cell r="A100" t="str">
            <v>20000056</v>
          </cell>
          <cell r="B100" t="str">
            <v>설계2팀</v>
          </cell>
          <cell r="C100" t="str">
            <v>박상현</v>
          </cell>
        </row>
        <row r="101">
          <cell r="A101" t="str">
            <v>20000028</v>
          </cell>
          <cell r="B101" t="str">
            <v>설계2팀</v>
          </cell>
          <cell r="C101" t="str">
            <v>백승호</v>
          </cell>
        </row>
        <row r="102">
          <cell r="A102" t="str">
            <v>20000146</v>
          </cell>
          <cell r="B102" t="str">
            <v>설계2팀</v>
          </cell>
          <cell r="C102" t="str">
            <v>윤성탁</v>
          </cell>
        </row>
        <row r="103">
          <cell r="A103" t="str">
            <v>20000035</v>
          </cell>
          <cell r="B103" t="str">
            <v>설계2팀</v>
          </cell>
          <cell r="C103" t="str">
            <v>이진아</v>
          </cell>
        </row>
        <row r="104">
          <cell r="A104" t="str">
            <v>20000090</v>
          </cell>
          <cell r="B104" t="str">
            <v>설계2팀</v>
          </cell>
          <cell r="C104" t="str">
            <v>김영민</v>
          </cell>
        </row>
        <row r="105">
          <cell r="A105" t="str">
            <v>20000174</v>
          </cell>
          <cell r="B105" t="str">
            <v>설계2팀</v>
          </cell>
          <cell r="C105" t="str">
            <v>김형필</v>
          </cell>
        </row>
        <row r="106">
          <cell r="A106" t="str">
            <v>20000075</v>
          </cell>
          <cell r="B106" t="str">
            <v>설계2팀</v>
          </cell>
          <cell r="C106" t="str">
            <v>남형주</v>
          </cell>
        </row>
        <row r="107">
          <cell r="A107" t="str">
            <v>20000076</v>
          </cell>
          <cell r="B107" t="str">
            <v>설계2팀</v>
          </cell>
          <cell r="C107" t="str">
            <v>유명석</v>
          </cell>
        </row>
        <row r="108">
          <cell r="A108" t="str">
            <v>20000124</v>
          </cell>
          <cell r="B108" t="str">
            <v>설계2팀</v>
          </cell>
          <cell r="C108" t="str">
            <v>윤신</v>
          </cell>
        </row>
        <row r="109">
          <cell r="A109" t="str">
            <v>20000130</v>
          </cell>
          <cell r="B109" t="str">
            <v>설계2팀</v>
          </cell>
          <cell r="C109" t="str">
            <v>이승민</v>
          </cell>
        </row>
        <row r="110">
          <cell r="A110" t="str">
            <v>20000091</v>
          </cell>
          <cell r="B110" t="str">
            <v>설계2팀</v>
          </cell>
          <cell r="C110" t="str">
            <v>임재호</v>
          </cell>
        </row>
        <row r="111">
          <cell r="A111" t="str">
            <v>20000101</v>
          </cell>
          <cell r="B111" t="str">
            <v>설계2팀</v>
          </cell>
          <cell r="C111" t="str">
            <v>정수민</v>
          </cell>
        </row>
        <row r="112">
          <cell r="A112" t="str">
            <v>20000099</v>
          </cell>
          <cell r="B112" t="str">
            <v>설계2팀</v>
          </cell>
          <cell r="C112" t="str">
            <v>최성민</v>
          </cell>
        </row>
        <row r="113">
          <cell r="A113" t="str">
            <v>20000132</v>
          </cell>
          <cell r="B113" t="str">
            <v>설계2팀</v>
          </cell>
          <cell r="C113" t="str">
            <v>최세진</v>
          </cell>
        </row>
        <row r="114">
          <cell r="A114" t="str">
            <v>20000176</v>
          </cell>
          <cell r="B114" t="str">
            <v>설계2팀</v>
          </cell>
          <cell r="C114" t="str">
            <v>강의진</v>
          </cell>
        </row>
        <row r="115">
          <cell r="A115" t="str">
            <v>20000171</v>
          </cell>
          <cell r="B115" t="str">
            <v>설계2팀</v>
          </cell>
          <cell r="C115" t="str">
            <v>권기헌</v>
          </cell>
        </row>
        <row r="116">
          <cell r="A116" t="str">
            <v>20000172</v>
          </cell>
          <cell r="B116" t="str">
            <v>설계2팀</v>
          </cell>
          <cell r="C116" t="str">
            <v>박정은</v>
          </cell>
        </row>
        <row r="117">
          <cell r="A117" t="str">
            <v>20000141</v>
          </cell>
          <cell r="B117" t="str">
            <v>설계2팀</v>
          </cell>
          <cell r="C117" t="str">
            <v>박종훈</v>
          </cell>
        </row>
        <row r="118">
          <cell r="A118" t="str">
            <v>20000170</v>
          </cell>
          <cell r="B118" t="str">
            <v>설계2팀</v>
          </cell>
          <cell r="C118" t="str">
            <v>이호현</v>
          </cell>
        </row>
        <row r="119">
          <cell r="A119" t="str">
            <v>20000078</v>
          </cell>
          <cell r="B119" t="str">
            <v>Layout팀</v>
          </cell>
          <cell r="C119" t="str">
            <v>설현수</v>
          </cell>
        </row>
        <row r="120">
          <cell r="A120" t="str">
            <v>20000109</v>
          </cell>
          <cell r="B120" t="str">
            <v>Layout팀</v>
          </cell>
          <cell r="C120" t="str">
            <v>신현진</v>
          </cell>
        </row>
        <row r="121">
          <cell r="A121" t="str">
            <v>20000125</v>
          </cell>
          <cell r="B121" t="str">
            <v>Layout팀</v>
          </cell>
          <cell r="C121" t="str">
            <v>김도현</v>
          </cell>
        </row>
        <row r="122">
          <cell r="A122" t="str">
            <v>20000147</v>
          </cell>
          <cell r="B122" t="str">
            <v>Layout팀</v>
          </cell>
          <cell r="C122" t="str">
            <v>김미로</v>
          </cell>
        </row>
        <row r="123">
          <cell r="A123" t="str">
            <v>20000139</v>
          </cell>
          <cell r="B123" t="str">
            <v>Layout팀</v>
          </cell>
          <cell r="C123" t="str">
            <v>변아름</v>
          </cell>
        </row>
        <row r="124">
          <cell r="A124" t="str">
            <v>20000087</v>
          </cell>
          <cell r="B124" t="str">
            <v>Layout팀</v>
          </cell>
          <cell r="C124" t="str">
            <v>이유진</v>
          </cell>
        </row>
        <row r="125">
          <cell r="A125" t="str">
            <v>20000051</v>
          </cell>
          <cell r="B125" t="str">
            <v>Layout팀</v>
          </cell>
          <cell r="C125" t="str">
            <v>이정수</v>
          </cell>
        </row>
        <row r="126">
          <cell r="A126" t="str">
            <v>20000137</v>
          </cell>
          <cell r="B126" t="str">
            <v>Layout팀</v>
          </cell>
          <cell r="C126" t="str">
            <v>천승우</v>
          </cell>
        </row>
        <row r="127">
          <cell r="A127" t="str">
            <v>20000164</v>
          </cell>
          <cell r="B127" t="str">
            <v>Layout팀</v>
          </cell>
          <cell r="C127" t="str">
            <v>강대현</v>
          </cell>
        </row>
        <row r="128">
          <cell r="A128" t="str">
            <v>20000116</v>
          </cell>
          <cell r="B128" t="str">
            <v>Layout팀</v>
          </cell>
          <cell r="C128" t="str">
            <v>경명근</v>
          </cell>
        </row>
        <row r="129">
          <cell r="A129" t="str">
            <v>20000108</v>
          </cell>
          <cell r="B129" t="str">
            <v>Layout팀</v>
          </cell>
          <cell r="C129" t="str">
            <v>김성빈</v>
          </cell>
        </row>
        <row r="130">
          <cell r="A130" t="str">
            <v>20000165</v>
          </cell>
          <cell r="B130" t="str">
            <v>Layout팀</v>
          </cell>
          <cell r="C130" t="str">
            <v>박지홍</v>
          </cell>
        </row>
        <row r="131">
          <cell r="A131" t="str">
            <v>20000064</v>
          </cell>
          <cell r="B131" t="str">
            <v>Layout팀</v>
          </cell>
          <cell r="C131" t="str">
            <v>송시연</v>
          </cell>
        </row>
        <row r="132">
          <cell r="A132" t="str">
            <v>20000086</v>
          </cell>
          <cell r="B132" t="str">
            <v>Layout팀</v>
          </cell>
          <cell r="C132" t="str">
            <v>이표현</v>
          </cell>
        </row>
        <row r="133">
          <cell r="A133" t="str">
            <v>20000123</v>
          </cell>
          <cell r="B133" t="str">
            <v>Layout팀</v>
          </cell>
          <cell r="C133" t="str">
            <v>최민</v>
          </cell>
        </row>
        <row r="134">
          <cell r="A134" t="str">
            <v>20000133</v>
          </cell>
          <cell r="B134" t="str">
            <v>Layout팀</v>
          </cell>
          <cell r="C134" t="str">
            <v>표명호</v>
          </cell>
        </row>
        <row r="135">
          <cell r="A135" t="str">
            <v>20000065</v>
          </cell>
          <cell r="B135" t="str">
            <v>Layout팀</v>
          </cell>
          <cell r="C135" t="str">
            <v>황찬규</v>
          </cell>
        </row>
        <row r="136">
          <cell r="A136" t="str">
            <v>20000162</v>
          </cell>
          <cell r="B136" t="str">
            <v>선행개발팀</v>
          </cell>
          <cell r="C136" t="str">
            <v>하창우</v>
          </cell>
        </row>
        <row r="137">
          <cell r="A137" t="str">
            <v>20000093</v>
          </cell>
          <cell r="B137" t="str">
            <v>선행개발팀</v>
          </cell>
          <cell r="C137" t="str">
            <v>가학진</v>
          </cell>
        </row>
        <row r="138">
          <cell r="A138" t="str">
            <v>20000088</v>
          </cell>
          <cell r="B138" t="str">
            <v>선행개발팀</v>
          </cell>
          <cell r="C138" t="str">
            <v>김경환</v>
          </cell>
        </row>
        <row r="139">
          <cell r="A139" t="str">
            <v>20000059</v>
          </cell>
          <cell r="B139" t="str">
            <v>선행개발팀</v>
          </cell>
          <cell r="C139" t="str">
            <v>이동기</v>
          </cell>
        </row>
        <row r="140">
          <cell r="A140" t="str">
            <v>20000163</v>
          </cell>
          <cell r="B140" t="str">
            <v>선행개발팀</v>
          </cell>
          <cell r="C140" t="str">
            <v>조아연</v>
          </cell>
        </row>
        <row r="141">
          <cell r="A141" t="str">
            <v>20000135</v>
          </cell>
          <cell r="B141" t="str">
            <v>상품기획파트</v>
          </cell>
          <cell r="C141" t="str">
            <v>김인호</v>
          </cell>
        </row>
        <row r="142">
          <cell r="A142" t="str">
            <v>20000159</v>
          </cell>
          <cell r="B142" t="str">
            <v>상품기획파트</v>
          </cell>
          <cell r="C142" t="str">
            <v>양인범</v>
          </cell>
        </row>
        <row r="143">
          <cell r="A143" t="str">
            <v>20000040</v>
          </cell>
          <cell r="B143" t="str">
            <v>상품기획파트</v>
          </cell>
          <cell r="C143" t="str">
            <v>조영아</v>
          </cell>
        </row>
        <row r="144">
          <cell r="A144" t="str">
            <v>20000152</v>
          </cell>
          <cell r="B144" t="str">
            <v>상품기획파트</v>
          </cell>
          <cell r="C144" t="str">
            <v>홍형도</v>
          </cell>
        </row>
        <row r="145">
          <cell r="A145" t="str">
            <v>20000107</v>
          </cell>
          <cell r="B145" t="str">
            <v>경영지원실</v>
          </cell>
          <cell r="C145" t="str">
            <v>김광수</v>
          </cell>
        </row>
        <row r="146">
          <cell r="A146" t="str">
            <v>20000118</v>
          </cell>
          <cell r="B146" t="str">
            <v>재무기획팀</v>
          </cell>
          <cell r="C146" t="str">
            <v>권성재</v>
          </cell>
        </row>
        <row r="147">
          <cell r="A147" t="str">
            <v>20000155</v>
          </cell>
          <cell r="B147" t="str">
            <v>재무기획팀</v>
          </cell>
          <cell r="C147" t="str">
            <v>배윤미</v>
          </cell>
        </row>
        <row r="148">
          <cell r="A148" t="str">
            <v>20000030</v>
          </cell>
          <cell r="B148" t="str">
            <v>재무기획팀</v>
          </cell>
          <cell r="C148" t="str">
            <v>장승원</v>
          </cell>
        </row>
        <row r="149">
          <cell r="A149" t="str">
            <v>20000061</v>
          </cell>
          <cell r="B149" t="str">
            <v>재무기획팀</v>
          </cell>
          <cell r="C149" t="str">
            <v>김성준</v>
          </cell>
        </row>
        <row r="150">
          <cell r="A150" t="str">
            <v>20000117</v>
          </cell>
          <cell r="B150" t="str">
            <v>재무기획팀</v>
          </cell>
          <cell r="C150" t="str">
            <v>김수민</v>
          </cell>
        </row>
        <row r="151">
          <cell r="A151" t="str">
            <v>20000156</v>
          </cell>
          <cell r="B151" t="str">
            <v>재무기획팀</v>
          </cell>
          <cell r="C151" t="str">
            <v>김상용</v>
          </cell>
        </row>
        <row r="152">
          <cell r="A152" t="str">
            <v>20000142</v>
          </cell>
          <cell r="B152" t="str">
            <v>피플팀</v>
          </cell>
          <cell r="C152" t="str">
            <v>김승중</v>
          </cell>
        </row>
        <row r="153">
          <cell r="A153" t="str">
            <v>20000145</v>
          </cell>
          <cell r="B153" t="str">
            <v>피플팀</v>
          </cell>
          <cell r="C153" t="str">
            <v>이경원</v>
          </cell>
        </row>
        <row r="154">
          <cell r="A154" t="str">
            <v>20000044</v>
          </cell>
          <cell r="B154" t="str">
            <v>피플팀</v>
          </cell>
          <cell r="C154" t="str">
            <v>허예진</v>
          </cell>
        </row>
        <row r="155">
          <cell r="A155" t="str">
            <v>20000104</v>
          </cell>
          <cell r="B155" t="str">
            <v>피플팀</v>
          </cell>
          <cell r="C155" t="str">
            <v>임나영</v>
          </cell>
        </row>
        <row r="156">
          <cell r="A156" t="str">
            <v>20000115</v>
          </cell>
          <cell r="B156" t="str">
            <v>피플팀</v>
          </cell>
          <cell r="C156" t="str">
            <v>정다미</v>
          </cell>
        </row>
        <row r="157">
          <cell r="A157" t="str">
            <v>20000013</v>
          </cell>
          <cell r="B157" t="str">
            <v>IT파트</v>
          </cell>
          <cell r="C157" t="str">
            <v>주양중</v>
          </cell>
        </row>
        <row r="158">
          <cell r="A158" t="str">
            <v>20000158</v>
          </cell>
          <cell r="B158" t="str">
            <v>IT파트</v>
          </cell>
          <cell r="C158" t="str">
            <v>이재현</v>
          </cell>
        </row>
        <row r="159">
          <cell r="A159" t="str">
            <v>20000173</v>
          </cell>
          <cell r="B159" t="str">
            <v>IT파트</v>
          </cell>
          <cell r="C159" t="str">
            <v>백종대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44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SCM담당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46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SCM담당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48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20000004</v>
          </cell>
          <cell r="B5" t="str">
            <v>강정호</v>
          </cell>
          <cell r="C5" t="str">
            <v>6905161653031</v>
          </cell>
          <cell r="D5" t="str">
            <v>남</v>
          </cell>
          <cell r="E5" t="str">
            <v>19690325</v>
          </cell>
          <cell r="F5" t="str">
            <v>57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자문역</v>
          </cell>
        </row>
        <row r="6">
          <cell r="A6" t="str">
            <v>20000005</v>
          </cell>
          <cell r="B6" t="str">
            <v>최정민</v>
          </cell>
          <cell r="C6" t="str">
            <v>7401261337311</v>
          </cell>
          <cell r="D6" t="str">
            <v>남</v>
          </cell>
          <cell r="E6" t="str">
            <v>19740126</v>
          </cell>
          <cell r="F6" t="str">
            <v>52</v>
          </cell>
          <cell r="G6" t="str">
            <v>재직자</v>
          </cell>
          <cell r="H6" t="str">
            <v>판교</v>
          </cell>
          <cell r="I6"/>
          <cell r="J6"/>
          <cell r="K6" t="str">
            <v>임원</v>
          </cell>
          <cell r="L6" t="str">
            <v>SCM담당</v>
          </cell>
        </row>
        <row r="7">
          <cell r="A7" t="str">
            <v>20000006</v>
          </cell>
          <cell r="B7" t="str">
            <v>박태용</v>
          </cell>
          <cell r="C7" t="str">
            <v>8012011042717</v>
          </cell>
          <cell r="D7" t="str">
            <v>남</v>
          </cell>
          <cell r="E7" t="str">
            <v>19801201</v>
          </cell>
          <cell r="F7" t="str">
            <v>46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품질팀</v>
          </cell>
        </row>
        <row r="8">
          <cell r="A8" t="str">
            <v>20000007</v>
          </cell>
          <cell r="B8" t="str">
            <v>이도훈</v>
          </cell>
          <cell r="C8" t="str">
            <v>7902221224120</v>
          </cell>
          <cell r="D8" t="str">
            <v>남</v>
          </cell>
          <cell r="E8" t="str">
            <v>19790222</v>
          </cell>
          <cell r="F8" t="str">
            <v>47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Test팀</v>
          </cell>
        </row>
        <row r="9">
          <cell r="A9" t="str">
            <v>20000008</v>
          </cell>
          <cell r="B9" t="str">
            <v>소순만</v>
          </cell>
          <cell r="C9" t="str">
            <v>7506081531218</v>
          </cell>
          <cell r="D9" t="str">
            <v>남</v>
          </cell>
          <cell r="E9" t="str">
            <v>19750108</v>
          </cell>
          <cell r="F9" t="str">
            <v>51</v>
          </cell>
          <cell r="G9" t="str">
            <v>재직자</v>
          </cell>
          <cell r="H9" t="str">
            <v>판교</v>
          </cell>
          <cell r="I9"/>
          <cell r="J9"/>
          <cell r="K9" t="str">
            <v>기술사무</v>
          </cell>
          <cell r="L9" t="str">
            <v>제품기술팀</v>
          </cell>
        </row>
        <row r="10">
          <cell r="A10" t="str">
            <v>20000010</v>
          </cell>
          <cell r="B10" t="str">
            <v>권유석</v>
          </cell>
          <cell r="C10" t="str">
            <v>7507051068711</v>
          </cell>
          <cell r="D10" t="str">
            <v>남</v>
          </cell>
          <cell r="E10" t="str">
            <v>19750705</v>
          </cell>
          <cell r="F10" t="str">
            <v>51</v>
          </cell>
          <cell r="G10" t="str">
            <v>재직자</v>
          </cell>
          <cell r="H10" t="str">
            <v>중국</v>
          </cell>
          <cell r="I10" t="str">
            <v>심천</v>
          </cell>
          <cell r="J10"/>
          <cell r="K10" t="str">
            <v>기술사무</v>
          </cell>
          <cell r="L10" t="str">
            <v>심천지사</v>
          </cell>
        </row>
        <row r="11">
          <cell r="A11" t="str">
            <v>20000013</v>
          </cell>
          <cell r="B11" t="str">
            <v>주양중</v>
          </cell>
          <cell r="C11" t="str">
            <v>7311301332915</v>
          </cell>
          <cell r="D11" t="str">
            <v>남</v>
          </cell>
          <cell r="E11" t="str">
            <v>19731130</v>
          </cell>
          <cell r="F11" t="str">
            <v>53</v>
          </cell>
          <cell r="G11" t="str">
            <v>재직자</v>
          </cell>
          <cell r="H11" t="str">
            <v>판교</v>
          </cell>
          <cell r="I11"/>
          <cell r="J11"/>
          <cell r="K11" t="str">
            <v>기술사무</v>
          </cell>
          <cell r="L11" t="str">
            <v>IT파트</v>
          </cell>
        </row>
        <row r="12">
          <cell r="A12" t="str">
            <v>20000014</v>
          </cell>
          <cell r="B12" t="str">
            <v>허세화</v>
          </cell>
          <cell r="C12" t="str">
            <v>7910272182914</v>
          </cell>
          <cell r="D12" t="str">
            <v>여</v>
          </cell>
          <cell r="E12" t="str">
            <v>19791027</v>
          </cell>
          <cell r="F12" t="str">
            <v>47</v>
          </cell>
          <cell r="G12" t="str">
            <v>재직자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외주생산파트</v>
          </cell>
        </row>
        <row r="13">
          <cell r="A13" t="str">
            <v>20000015</v>
          </cell>
          <cell r="B13" t="str">
            <v>성은주</v>
          </cell>
          <cell r="C13" t="str">
            <v>7405222380611</v>
          </cell>
          <cell r="D13" t="str">
            <v>여</v>
          </cell>
          <cell r="E13" t="str">
            <v>19740711</v>
          </cell>
          <cell r="F13" t="str">
            <v>52</v>
          </cell>
          <cell r="G13" t="str">
            <v>재직자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외주생산파트</v>
          </cell>
        </row>
        <row r="14">
          <cell r="A14" t="str">
            <v>20000016</v>
          </cell>
          <cell r="B14" t="str">
            <v>안주희</v>
          </cell>
          <cell r="C14" t="str">
            <v>8004302074414</v>
          </cell>
          <cell r="D14" t="str">
            <v>여</v>
          </cell>
          <cell r="E14" t="str">
            <v>19800430</v>
          </cell>
          <cell r="F14" t="str">
            <v>46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외주생산파트</v>
          </cell>
        </row>
        <row r="15">
          <cell r="A15" t="str">
            <v>20000017</v>
          </cell>
          <cell r="B15" t="str">
            <v>김현일</v>
          </cell>
          <cell r="C15" t="str">
            <v>7411251079839</v>
          </cell>
          <cell r="D15" t="str">
            <v>남</v>
          </cell>
          <cell r="E15" t="str">
            <v>19741125</v>
          </cell>
          <cell r="F15" t="str">
            <v>52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전략구매파트</v>
          </cell>
        </row>
        <row r="16">
          <cell r="A16" t="str">
            <v>20000018</v>
          </cell>
          <cell r="B16" t="str">
            <v>박유배</v>
          </cell>
          <cell r="C16" t="str">
            <v>6708151457516</v>
          </cell>
          <cell r="D16" t="str">
            <v>남</v>
          </cell>
          <cell r="E16" t="str">
            <v>19670815</v>
          </cell>
          <cell r="F16" t="str">
            <v>59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기술사무</v>
          </cell>
          <cell r="L16" t="str">
            <v>제품기술팀</v>
          </cell>
        </row>
        <row r="17">
          <cell r="A17" t="str">
            <v>20000019</v>
          </cell>
          <cell r="B17" t="str">
            <v>박정태</v>
          </cell>
          <cell r="C17" t="str">
            <v>7301151094121</v>
          </cell>
          <cell r="D17" t="str">
            <v>남</v>
          </cell>
          <cell r="E17" t="str">
            <v>19730115</v>
          </cell>
          <cell r="F17" t="str">
            <v>53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임원</v>
          </cell>
          <cell r="L17" t="str">
            <v>기술지원담당</v>
          </cell>
        </row>
        <row r="18">
          <cell r="A18" t="str">
            <v>20000020</v>
          </cell>
          <cell r="B18" t="str">
            <v>김산홍</v>
          </cell>
          <cell r="C18" t="str">
            <v>6809191683715</v>
          </cell>
          <cell r="D18" t="str">
            <v>남</v>
          </cell>
          <cell r="E18" t="str">
            <v>19680919</v>
          </cell>
          <cell r="F18" t="str">
            <v>58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제품기술팀</v>
          </cell>
        </row>
        <row r="19">
          <cell r="A19" t="str">
            <v>20000021</v>
          </cell>
          <cell r="B19" t="str">
            <v>성재웅</v>
          </cell>
          <cell r="C19" t="str">
            <v>7209261890713</v>
          </cell>
          <cell r="D19" t="str">
            <v>남</v>
          </cell>
          <cell r="E19" t="str">
            <v>19720926</v>
          </cell>
          <cell r="F19" t="str">
            <v>54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품질팀</v>
          </cell>
        </row>
        <row r="20">
          <cell r="A20" t="str">
            <v>20000022</v>
          </cell>
          <cell r="B20" t="str">
            <v>여승진</v>
          </cell>
          <cell r="C20" t="str">
            <v>8211131157025</v>
          </cell>
          <cell r="D20" t="str">
            <v>남</v>
          </cell>
          <cell r="E20" t="str">
            <v>19821113</v>
          </cell>
          <cell r="F20" t="str">
            <v>44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기술사무</v>
          </cell>
          <cell r="L20" t="str">
            <v>Interface파트(1팀)</v>
          </cell>
        </row>
        <row r="21">
          <cell r="A21" t="str">
            <v>20000023</v>
          </cell>
          <cell r="B21" t="str">
            <v>박준영</v>
          </cell>
          <cell r="C21" t="str">
            <v>8202241906419</v>
          </cell>
          <cell r="D21" t="str">
            <v>남</v>
          </cell>
          <cell r="E21" t="str">
            <v>19820224</v>
          </cell>
          <cell r="F21" t="str">
            <v>44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Test팀</v>
          </cell>
        </row>
        <row r="22">
          <cell r="A22" t="str">
            <v>20000024</v>
          </cell>
          <cell r="B22" t="str">
            <v>김기일</v>
          </cell>
          <cell r="C22" t="str">
            <v>8307081183717</v>
          </cell>
          <cell r="D22" t="str">
            <v>남</v>
          </cell>
          <cell r="E22" t="str">
            <v>19830708</v>
          </cell>
          <cell r="F22" t="str">
            <v>43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Logic파트(2팀)</v>
          </cell>
        </row>
        <row r="23">
          <cell r="A23" t="str">
            <v>20000025</v>
          </cell>
          <cell r="B23" t="str">
            <v>김희진</v>
          </cell>
          <cell r="C23" t="str">
            <v>7901281120515</v>
          </cell>
          <cell r="D23" t="str">
            <v>남</v>
          </cell>
          <cell r="E23" t="str">
            <v>19790128</v>
          </cell>
          <cell r="F23" t="str">
            <v>47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PKG파트</v>
          </cell>
        </row>
        <row r="24">
          <cell r="A24" t="str">
            <v>20000027</v>
          </cell>
          <cell r="B24" t="str">
            <v>차승현</v>
          </cell>
          <cell r="C24" t="str">
            <v>8607121183017</v>
          </cell>
          <cell r="D24" t="str">
            <v>남</v>
          </cell>
          <cell r="E24" t="str">
            <v>19860712</v>
          </cell>
          <cell r="F24" t="str">
            <v>40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외주생산파트</v>
          </cell>
        </row>
        <row r="25">
          <cell r="A25" t="str">
            <v>20000029</v>
          </cell>
          <cell r="B25" t="str">
            <v>노상훈</v>
          </cell>
          <cell r="C25" t="str">
            <v>7203051093122</v>
          </cell>
          <cell r="D25" t="str">
            <v>남</v>
          </cell>
          <cell r="E25" t="str">
            <v>19720305</v>
          </cell>
          <cell r="F25" t="str">
            <v>54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제품기술팀</v>
          </cell>
        </row>
        <row r="26">
          <cell r="A26" t="str">
            <v>20000030</v>
          </cell>
          <cell r="B26" t="str">
            <v>장승원</v>
          </cell>
          <cell r="C26" t="str">
            <v>7712011654211</v>
          </cell>
          <cell r="D26" t="str">
            <v>남</v>
          </cell>
          <cell r="E26" t="str">
            <v>19771201</v>
          </cell>
          <cell r="F26" t="str">
            <v>49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재무관리팀</v>
          </cell>
        </row>
        <row r="27">
          <cell r="A27" t="str">
            <v>20000032</v>
          </cell>
          <cell r="B27" t="str">
            <v>노정호</v>
          </cell>
          <cell r="C27" t="str">
            <v>8510281011918</v>
          </cell>
          <cell r="D27" t="str">
            <v>남</v>
          </cell>
          <cell r="E27" t="str">
            <v>19851028</v>
          </cell>
          <cell r="F27" t="str">
            <v>41</v>
          </cell>
          <cell r="G27" t="str">
            <v>재직자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전략구매파트</v>
          </cell>
        </row>
        <row r="28">
          <cell r="A28" t="str">
            <v>20000033</v>
          </cell>
          <cell r="B28" t="str">
            <v>강완규</v>
          </cell>
          <cell r="C28" t="str">
            <v>7502021025216</v>
          </cell>
          <cell r="D28" t="str">
            <v>남</v>
          </cell>
          <cell r="E28" t="str">
            <v>19741222</v>
          </cell>
          <cell r="F28" t="str">
            <v>52</v>
          </cell>
          <cell r="G28" t="str">
            <v>재직자</v>
          </cell>
          <cell r="H28" t="str">
            <v>판교</v>
          </cell>
          <cell r="I28"/>
          <cell r="J28"/>
          <cell r="K28" t="str">
            <v>기술사무</v>
          </cell>
          <cell r="L28" t="str">
            <v>품질팀</v>
          </cell>
        </row>
        <row r="29">
          <cell r="A29" t="str">
            <v>20000034</v>
          </cell>
          <cell r="B29" t="str">
            <v>김덕준</v>
          </cell>
          <cell r="C29" t="str">
            <v>7701281814910</v>
          </cell>
          <cell r="D29" t="str">
            <v>남</v>
          </cell>
          <cell r="E29" t="str">
            <v>19770128</v>
          </cell>
          <cell r="F29" t="str">
            <v>49</v>
          </cell>
          <cell r="G29" t="str">
            <v>재직자</v>
          </cell>
          <cell r="H29" t="str">
            <v>상우</v>
          </cell>
          <cell r="I29"/>
          <cell r="J29"/>
          <cell r="K29" t="str">
            <v>기술사무</v>
          </cell>
          <cell r="L29" t="str">
            <v>Test팀</v>
          </cell>
        </row>
        <row r="30">
          <cell r="A30" t="str">
            <v>20000035</v>
          </cell>
          <cell r="B30" t="str">
            <v>이진아</v>
          </cell>
          <cell r="C30" t="str">
            <v>8507192156912</v>
          </cell>
          <cell r="D30" t="str">
            <v>여</v>
          </cell>
          <cell r="E30" t="str">
            <v>19850719</v>
          </cell>
          <cell r="F30" t="str">
            <v>41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Logic파트(2팀)</v>
          </cell>
        </row>
        <row r="31">
          <cell r="A31" t="str">
            <v>20000036</v>
          </cell>
          <cell r="B31" t="str">
            <v>박영건</v>
          </cell>
          <cell r="C31" t="str">
            <v>8604191360513</v>
          </cell>
          <cell r="D31" t="str">
            <v>남</v>
          </cell>
          <cell r="E31" t="str">
            <v>19860419</v>
          </cell>
          <cell r="F31" t="str">
            <v>40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품질팀</v>
          </cell>
        </row>
        <row r="32">
          <cell r="A32" t="str">
            <v>20000038</v>
          </cell>
          <cell r="B32" t="str">
            <v>김민선</v>
          </cell>
          <cell r="C32" t="str">
            <v>8604222085213</v>
          </cell>
          <cell r="D32" t="str">
            <v>여</v>
          </cell>
          <cell r="E32" t="str">
            <v>19860422</v>
          </cell>
          <cell r="F32" t="str">
            <v>40</v>
          </cell>
          <cell r="G32" t="str">
            <v>재직자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PKG파트</v>
          </cell>
        </row>
        <row r="33">
          <cell r="A33" t="str">
            <v>20000039</v>
          </cell>
          <cell r="B33" t="str">
            <v>이상훈</v>
          </cell>
          <cell r="C33" t="str">
            <v>8812211023528</v>
          </cell>
          <cell r="D33" t="str">
            <v>남</v>
          </cell>
          <cell r="E33" t="str">
            <v>19881221</v>
          </cell>
          <cell r="F33" t="str">
            <v>38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Interface파트(1팀)</v>
          </cell>
        </row>
        <row r="34">
          <cell r="A34" t="str">
            <v>20000040</v>
          </cell>
          <cell r="B34" t="str">
            <v>조영아</v>
          </cell>
          <cell r="C34" t="str">
            <v>7312092802618</v>
          </cell>
          <cell r="D34" t="str">
            <v>여</v>
          </cell>
          <cell r="E34" t="str">
            <v>19731209</v>
          </cell>
          <cell r="F34" t="str">
            <v>53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PMIC마케팅파트</v>
          </cell>
        </row>
        <row r="35">
          <cell r="A35" t="str">
            <v>20000041</v>
          </cell>
          <cell r="B35" t="str">
            <v>이승용</v>
          </cell>
          <cell r="C35" t="str">
            <v>8603311800021</v>
          </cell>
          <cell r="D35" t="str">
            <v>남</v>
          </cell>
          <cell r="E35" t="str">
            <v>19860331</v>
          </cell>
          <cell r="F35" t="str">
            <v>40</v>
          </cell>
          <cell r="G35" t="str">
            <v>재직자</v>
          </cell>
          <cell r="H35" t="str">
            <v>판교</v>
          </cell>
          <cell r="I35"/>
          <cell r="J35"/>
          <cell r="K35" t="str">
            <v>기술사무</v>
          </cell>
          <cell r="L35" t="str">
            <v>Logic파트(1팀)</v>
          </cell>
        </row>
        <row r="36">
          <cell r="A36" t="str">
            <v>20000043</v>
          </cell>
          <cell r="B36" t="str">
            <v>정연호</v>
          </cell>
          <cell r="C36" t="str">
            <v>8603221743211</v>
          </cell>
          <cell r="D36" t="str">
            <v>남</v>
          </cell>
          <cell r="E36" t="str">
            <v>19860322</v>
          </cell>
          <cell r="F36" t="str">
            <v>40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Logic파트(1팀)</v>
          </cell>
        </row>
        <row r="37">
          <cell r="A37" t="str">
            <v>20000044</v>
          </cell>
          <cell r="B37" t="str">
            <v>허예진</v>
          </cell>
          <cell r="C37" t="str">
            <v>8903212151123</v>
          </cell>
          <cell r="D37" t="str">
            <v>여</v>
          </cell>
          <cell r="E37" t="str">
            <v>19890321</v>
          </cell>
          <cell r="F37" t="str">
            <v>37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피플팀</v>
          </cell>
        </row>
        <row r="38">
          <cell r="A38" t="str">
            <v>20000046</v>
          </cell>
          <cell r="B38" t="str">
            <v>박도우</v>
          </cell>
          <cell r="C38" t="str">
            <v>8709271552333</v>
          </cell>
          <cell r="D38" t="str">
            <v>남</v>
          </cell>
          <cell r="E38" t="str">
            <v>19870927</v>
          </cell>
          <cell r="F38" t="str">
            <v>39</v>
          </cell>
          <cell r="G38" t="str">
            <v>재직자</v>
          </cell>
          <cell r="H38" t="str">
            <v>판교</v>
          </cell>
          <cell r="I38"/>
          <cell r="J38"/>
          <cell r="K38" t="str">
            <v>기술사무</v>
          </cell>
          <cell r="L38" t="str">
            <v>Interface파트(1팀)</v>
          </cell>
        </row>
        <row r="39">
          <cell r="A39" t="str">
            <v>20000047</v>
          </cell>
          <cell r="B39" t="str">
            <v>손선규</v>
          </cell>
          <cell r="C39" t="str">
            <v>7301231042325</v>
          </cell>
          <cell r="D39" t="str">
            <v>남</v>
          </cell>
          <cell r="E39" t="str">
            <v>19730123</v>
          </cell>
          <cell r="F39" t="str">
            <v>53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제품기술팀</v>
          </cell>
        </row>
        <row r="40">
          <cell r="A40" t="str">
            <v>20000048</v>
          </cell>
          <cell r="B40" t="str">
            <v>유상민</v>
          </cell>
          <cell r="C40" t="str">
            <v>7907141932537</v>
          </cell>
          <cell r="D40" t="str">
            <v>남</v>
          </cell>
          <cell r="E40" t="str">
            <v>19790714</v>
          </cell>
          <cell r="F40" t="str">
            <v>47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제품기술팀</v>
          </cell>
        </row>
        <row r="41">
          <cell r="A41" t="str">
            <v>20000049</v>
          </cell>
          <cell r="B41" t="str">
            <v>이선희</v>
          </cell>
          <cell r="C41" t="str">
            <v>8608042162724</v>
          </cell>
          <cell r="D41" t="str">
            <v>여</v>
          </cell>
          <cell r="E41" t="str">
            <v>19860804</v>
          </cell>
          <cell r="F41" t="str">
            <v>40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SCM담당</v>
          </cell>
        </row>
        <row r="42">
          <cell r="A42" t="str">
            <v>20000050</v>
          </cell>
          <cell r="B42" t="str">
            <v>김도연</v>
          </cell>
          <cell r="C42" t="str">
            <v>8712121064130</v>
          </cell>
          <cell r="D42" t="str">
            <v>남</v>
          </cell>
          <cell r="E42" t="str">
            <v>19871212</v>
          </cell>
          <cell r="F42" t="str">
            <v>39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Interface파트(1팀)</v>
          </cell>
        </row>
        <row r="43">
          <cell r="A43" t="str">
            <v>20000051</v>
          </cell>
          <cell r="B43" t="str">
            <v>이정수</v>
          </cell>
          <cell r="C43" t="str">
            <v>9306041042248</v>
          </cell>
          <cell r="D43" t="str">
            <v>남</v>
          </cell>
          <cell r="E43" t="str">
            <v>19930604</v>
          </cell>
          <cell r="F43" t="str">
            <v>33</v>
          </cell>
          <cell r="G43" t="str">
            <v>재직자</v>
          </cell>
          <cell r="H43" t="str">
            <v>판교</v>
          </cell>
          <cell r="I43"/>
          <cell r="J43"/>
          <cell r="K43" t="str">
            <v>기술사무</v>
          </cell>
          <cell r="L43" t="str">
            <v>Layout팀</v>
          </cell>
        </row>
        <row r="44">
          <cell r="A44" t="str">
            <v>20000053</v>
          </cell>
          <cell r="B44" t="str">
            <v>고재홍</v>
          </cell>
          <cell r="C44" t="str">
            <v>7603021221117</v>
          </cell>
          <cell r="D44" t="str">
            <v>남</v>
          </cell>
          <cell r="E44" t="str">
            <v>19760302</v>
          </cell>
          <cell r="F44" t="str">
            <v>50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임원</v>
          </cell>
          <cell r="L44" t="str">
            <v>DDI개발담당</v>
          </cell>
        </row>
        <row r="45">
          <cell r="A45" t="str">
            <v>20000054</v>
          </cell>
          <cell r="B45" t="str">
            <v>조용탁</v>
          </cell>
          <cell r="C45" t="str">
            <v>9212161182910</v>
          </cell>
          <cell r="D45" t="str">
            <v>남</v>
          </cell>
          <cell r="E45" t="str">
            <v>19921216</v>
          </cell>
          <cell r="F45" t="str">
            <v>34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전략구매파트</v>
          </cell>
        </row>
        <row r="46">
          <cell r="A46" t="str">
            <v>20000055</v>
          </cell>
          <cell r="B46" t="str">
            <v>조주현</v>
          </cell>
          <cell r="C46" t="str">
            <v>7708031042921</v>
          </cell>
          <cell r="D46" t="str">
            <v>남</v>
          </cell>
          <cell r="E46" t="str">
            <v>19770803</v>
          </cell>
          <cell r="F46" t="str">
            <v>49</v>
          </cell>
          <cell r="G46" t="str">
            <v>재직자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제품기술팀</v>
          </cell>
        </row>
        <row r="47">
          <cell r="A47" t="str">
            <v>20000056</v>
          </cell>
          <cell r="B47" t="str">
            <v>박상현</v>
          </cell>
          <cell r="C47" t="str">
            <v>7909111055817</v>
          </cell>
          <cell r="D47" t="str">
            <v>남</v>
          </cell>
          <cell r="E47" t="str">
            <v>19790911</v>
          </cell>
          <cell r="F47" t="str">
            <v>47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Analog파트(2팀)</v>
          </cell>
        </row>
        <row r="48">
          <cell r="A48" t="str">
            <v>20000057</v>
          </cell>
          <cell r="B48" t="str">
            <v>김성욱</v>
          </cell>
          <cell r="C48" t="str">
            <v>7310171241819</v>
          </cell>
          <cell r="D48" t="str">
            <v>남</v>
          </cell>
          <cell r="E48" t="str">
            <v>19731017</v>
          </cell>
          <cell r="F48" t="str">
            <v>53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제품기술팀</v>
          </cell>
        </row>
        <row r="49">
          <cell r="A49" t="str">
            <v>20000059</v>
          </cell>
          <cell r="B49" t="str">
            <v>이동기</v>
          </cell>
          <cell r="C49" t="str">
            <v>8803131685615</v>
          </cell>
          <cell r="D49" t="str">
            <v>남</v>
          </cell>
          <cell r="E49" t="str">
            <v>19880313</v>
          </cell>
          <cell r="F49" t="str">
            <v>38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1파트</v>
          </cell>
        </row>
        <row r="50">
          <cell r="A50" t="str">
            <v>20000060</v>
          </cell>
          <cell r="B50" t="str">
            <v>권재학</v>
          </cell>
          <cell r="C50" t="str">
            <v>8202031001616</v>
          </cell>
          <cell r="D50" t="str">
            <v>남</v>
          </cell>
          <cell r="E50" t="str">
            <v>19820203</v>
          </cell>
          <cell r="F50" t="str">
            <v>44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품질팀</v>
          </cell>
        </row>
        <row r="51">
          <cell r="A51" t="str">
            <v>20000062</v>
          </cell>
          <cell r="B51" t="str">
            <v>이종래</v>
          </cell>
          <cell r="C51" t="str">
            <v>8010131822214</v>
          </cell>
          <cell r="D51" t="str">
            <v>남</v>
          </cell>
          <cell r="E51" t="str">
            <v>19801013</v>
          </cell>
          <cell r="F51" t="str">
            <v>46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PKG파트</v>
          </cell>
        </row>
        <row r="52">
          <cell r="A52" t="str">
            <v>20000063</v>
          </cell>
          <cell r="B52" t="str">
            <v>박성현</v>
          </cell>
          <cell r="C52" t="str">
            <v>9202101274215</v>
          </cell>
          <cell r="D52" t="str">
            <v>남</v>
          </cell>
          <cell r="E52" t="str">
            <v>19920210</v>
          </cell>
          <cell r="F52" t="str">
            <v>34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제품기술팀</v>
          </cell>
        </row>
        <row r="53">
          <cell r="A53" t="str">
            <v>20000064</v>
          </cell>
          <cell r="B53" t="str">
            <v>송시연</v>
          </cell>
          <cell r="C53" t="str">
            <v>9710281185610</v>
          </cell>
          <cell r="D53" t="str">
            <v>남</v>
          </cell>
          <cell r="E53" t="str">
            <v>19971028</v>
          </cell>
          <cell r="F53" t="str">
            <v>29</v>
          </cell>
          <cell r="G53" t="str">
            <v>재직자</v>
          </cell>
          <cell r="H53" t="str">
            <v>판교</v>
          </cell>
          <cell r="I53"/>
          <cell r="J53"/>
          <cell r="K53" t="str">
            <v>기술사무</v>
          </cell>
          <cell r="L53" t="str">
            <v>Layout팀</v>
          </cell>
        </row>
        <row r="54">
          <cell r="A54" t="str">
            <v>20000065</v>
          </cell>
          <cell r="B54" t="str">
            <v>황찬규</v>
          </cell>
          <cell r="C54" t="str">
            <v>9505111203415</v>
          </cell>
          <cell r="D54" t="str">
            <v>남</v>
          </cell>
          <cell r="E54" t="str">
            <v>19950511</v>
          </cell>
          <cell r="F54" t="str">
            <v>31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기술사무</v>
          </cell>
          <cell r="L54" t="str">
            <v>Layout팀</v>
          </cell>
        </row>
        <row r="55">
          <cell r="A55" t="str">
            <v>20000067</v>
          </cell>
          <cell r="B55" t="str">
            <v>최수임</v>
          </cell>
          <cell r="C55" t="str">
            <v>8405312274512</v>
          </cell>
          <cell r="D55" t="str">
            <v>여</v>
          </cell>
          <cell r="E55" t="str">
            <v>19840531</v>
          </cell>
          <cell r="F55" t="str">
            <v>42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영업팀</v>
          </cell>
        </row>
        <row r="56">
          <cell r="A56" t="str">
            <v>20000068</v>
          </cell>
          <cell r="B56" t="str">
            <v>반기환</v>
          </cell>
          <cell r="C56" t="str">
            <v>8702011685829</v>
          </cell>
          <cell r="D56" t="str">
            <v>남</v>
          </cell>
          <cell r="E56" t="str">
            <v>19870201</v>
          </cell>
          <cell r="F56" t="str">
            <v>39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Test팀</v>
          </cell>
        </row>
        <row r="57">
          <cell r="A57" t="str">
            <v>20000069</v>
          </cell>
          <cell r="B57" t="str">
            <v>박용준</v>
          </cell>
          <cell r="C57" t="str">
            <v>8705161350613</v>
          </cell>
          <cell r="D57" t="str">
            <v>남</v>
          </cell>
          <cell r="E57" t="str">
            <v>19870516</v>
          </cell>
          <cell r="F57" t="str">
            <v>39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품질팀</v>
          </cell>
        </row>
        <row r="58">
          <cell r="A58" t="str">
            <v>20000071</v>
          </cell>
          <cell r="B58" t="str">
            <v>오택준</v>
          </cell>
          <cell r="C58" t="str">
            <v>8610181261114</v>
          </cell>
          <cell r="D58" t="str">
            <v>남</v>
          </cell>
          <cell r="E58" t="str">
            <v>19861018</v>
          </cell>
          <cell r="F58" t="str">
            <v>40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Interface파트(1팀)</v>
          </cell>
        </row>
        <row r="59">
          <cell r="A59" t="str">
            <v>20000072</v>
          </cell>
          <cell r="B59" t="str">
            <v>황영주</v>
          </cell>
          <cell r="C59" t="str">
            <v>8912201183816</v>
          </cell>
          <cell r="D59" t="str">
            <v>남</v>
          </cell>
          <cell r="E59" t="str">
            <v>19891220</v>
          </cell>
          <cell r="F59" t="str">
            <v>37</v>
          </cell>
          <cell r="G59" t="str">
            <v>재직자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Interface파트(1팀)</v>
          </cell>
        </row>
        <row r="60">
          <cell r="A60" t="str">
            <v>20000073</v>
          </cell>
          <cell r="B60" t="str">
            <v>이관주</v>
          </cell>
          <cell r="C60" t="str">
            <v>8607151070518</v>
          </cell>
          <cell r="D60" t="str">
            <v>남</v>
          </cell>
          <cell r="E60" t="str">
            <v>19860715</v>
          </cell>
          <cell r="F60" t="str">
            <v>40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Logic파트(1팀)</v>
          </cell>
        </row>
        <row r="61">
          <cell r="A61" t="str">
            <v>20000074</v>
          </cell>
          <cell r="B61" t="str">
            <v>서정일</v>
          </cell>
          <cell r="C61" t="str">
            <v>7902231226128</v>
          </cell>
          <cell r="D61" t="str">
            <v>남</v>
          </cell>
          <cell r="E61" t="str">
            <v>19790321</v>
          </cell>
          <cell r="F61" t="str">
            <v>47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Logic파트(1팀)</v>
          </cell>
        </row>
        <row r="62">
          <cell r="A62" t="str">
            <v>20000076</v>
          </cell>
          <cell r="B62" t="str">
            <v>유명석</v>
          </cell>
          <cell r="C62" t="str">
            <v>9212071125911</v>
          </cell>
          <cell r="D62" t="str">
            <v>남</v>
          </cell>
          <cell r="E62" t="str">
            <v>19921207</v>
          </cell>
          <cell r="F62" t="str">
            <v>34</v>
          </cell>
          <cell r="G62" t="str">
            <v>재직자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Logic파트(2팀)</v>
          </cell>
        </row>
        <row r="63">
          <cell r="A63" t="str">
            <v>20000078</v>
          </cell>
          <cell r="B63" t="str">
            <v>설현수</v>
          </cell>
          <cell r="C63" t="str">
            <v>8306141500316</v>
          </cell>
          <cell r="D63" t="str">
            <v>남</v>
          </cell>
          <cell r="E63" t="str">
            <v>19830614</v>
          </cell>
          <cell r="F63" t="str">
            <v>43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Layout팀</v>
          </cell>
        </row>
        <row r="64">
          <cell r="A64" t="str">
            <v>20000079</v>
          </cell>
          <cell r="B64" t="str">
            <v>마평식</v>
          </cell>
          <cell r="C64" t="str">
            <v>8203061797911</v>
          </cell>
          <cell r="D64" t="str">
            <v>남</v>
          </cell>
          <cell r="E64" t="str">
            <v>19820306</v>
          </cell>
          <cell r="F64" t="str">
            <v>44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Analog파트(1팀)</v>
          </cell>
        </row>
        <row r="65">
          <cell r="A65" t="str">
            <v>20000081</v>
          </cell>
          <cell r="B65" t="str">
            <v>박천위</v>
          </cell>
          <cell r="C65" t="str">
            <v>8308131066018</v>
          </cell>
          <cell r="D65" t="str">
            <v>남</v>
          </cell>
          <cell r="E65" t="str">
            <v>19830813</v>
          </cell>
          <cell r="F65" t="str">
            <v>43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Analog파트(1팀)</v>
          </cell>
        </row>
        <row r="66">
          <cell r="A66" t="str">
            <v>20000082</v>
          </cell>
          <cell r="B66" t="str">
            <v>윤추실</v>
          </cell>
          <cell r="C66" t="str">
            <v>9611136460015</v>
          </cell>
          <cell r="D66" t="str">
            <v>여</v>
          </cell>
          <cell r="E66" t="str">
            <v>19961113</v>
          </cell>
          <cell r="F66" t="str">
            <v>30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제품기술팀</v>
          </cell>
        </row>
        <row r="67">
          <cell r="A67" t="str">
            <v>20000083</v>
          </cell>
          <cell r="B67" t="str">
            <v>이명호</v>
          </cell>
          <cell r="C67" t="str">
            <v>9311031300514</v>
          </cell>
          <cell r="D67" t="str">
            <v>남</v>
          </cell>
          <cell r="E67" t="str">
            <v>19931103</v>
          </cell>
          <cell r="F67" t="str">
            <v>33</v>
          </cell>
          <cell r="G67" t="str">
            <v>재직자</v>
          </cell>
          <cell r="H67" t="str">
            <v>판교</v>
          </cell>
          <cell r="I67"/>
          <cell r="J67"/>
          <cell r="K67" t="str">
            <v>기술사무</v>
          </cell>
          <cell r="L67" t="str">
            <v>Interface파트(1팀)</v>
          </cell>
        </row>
        <row r="68">
          <cell r="A68" t="str">
            <v>20000084</v>
          </cell>
          <cell r="B68" t="str">
            <v>박준영</v>
          </cell>
          <cell r="C68" t="str">
            <v>9308011037316</v>
          </cell>
          <cell r="D68" t="str">
            <v>남</v>
          </cell>
          <cell r="E68" t="str">
            <v>19930801</v>
          </cell>
          <cell r="F68" t="str">
            <v>33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Logic파트(1팀)</v>
          </cell>
        </row>
        <row r="69">
          <cell r="A69" t="str">
            <v>20000085</v>
          </cell>
          <cell r="B69" t="str">
            <v>정기선</v>
          </cell>
          <cell r="C69" t="str">
            <v>8309301168023</v>
          </cell>
          <cell r="D69" t="str">
            <v>남</v>
          </cell>
          <cell r="E69" t="str">
            <v>19830930</v>
          </cell>
          <cell r="F69" t="str">
            <v>43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Logic파트(1팀)</v>
          </cell>
        </row>
        <row r="70">
          <cell r="A70" t="str">
            <v>20000086</v>
          </cell>
          <cell r="B70" t="str">
            <v>이표현</v>
          </cell>
          <cell r="C70" t="str">
            <v>9811271205428</v>
          </cell>
          <cell r="D70" t="str">
            <v>남</v>
          </cell>
          <cell r="E70" t="str">
            <v>19981127</v>
          </cell>
          <cell r="F70" t="str">
            <v>28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Layout팀</v>
          </cell>
        </row>
        <row r="71">
          <cell r="A71" t="str">
            <v>20000087</v>
          </cell>
          <cell r="B71" t="str">
            <v>이유진</v>
          </cell>
          <cell r="C71" t="str">
            <v>9312252162129</v>
          </cell>
          <cell r="D71" t="str">
            <v>여</v>
          </cell>
          <cell r="E71" t="str">
            <v>19931225</v>
          </cell>
          <cell r="F71" t="str">
            <v>33</v>
          </cell>
          <cell r="G71" t="str">
            <v>재직자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Layout팀</v>
          </cell>
        </row>
        <row r="72">
          <cell r="A72" t="str">
            <v>20000088</v>
          </cell>
          <cell r="B72" t="str">
            <v>김경환</v>
          </cell>
          <cell r="C72" t="str">
            <v>8610141041312</v>
          </cell>
          <cell r="D72" t="str">
            <v>남</v>
          </cell>
          <cell r="E72" t="str">
            <v>19861014</v>
          </cell>
          <cell r="F72" t="str">
            <v>40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1파트</v>
          </cell>
        </row>
        <row r="73">
          <cell r="A73" t="str">
            <v>20000090</v>
          </cell>
          <cell r="B73" t="str">
            <v>김영민</v>
          </cell>
          <cell r="C73" t="str">
            <v>9302071850518</v>
          </cell>
          <cell r="D73" t="str">
            <v>남</v>
          </cell>
          <cell r="E73" t="str">
            <v>19930207</v>
          </cell>
          <cell r="F73" t="str">
            <v>33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Digital IP파트(2팀)</v>
          </cell>
        </row>
        <row r="74">
          <cell r="A74" t="str">
            <v>20000091</v>
          </cell>
          <cell r="B74" t="str">
            <v>임재호</v>
          </cell>
          <cell r="C74" t="str">
            <v>8805221555215</v>
          </cell>
          <cell r="D74" t="str">
            <v>남</v>
          </cell>
          <cell r="E74" t="str">
            <v>19880522</v>
          </cell>
          <cell r="F74" t="str">
            <v>38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Logic파트(2팀)</v>
          </cell>
        </row>
        <row r="75">
          <cell r="A75" t="str">
            <v>20000092</v>
          </cell>
          <cell r="B75" t="str">
            <v>정찬경</v>
          </cell>
          <cell r="C75" t="str">
            <v>9201091029711</v>
          </cell>
          <cell r="D75" t="str">
            <v>남</v>
          </cell>
          <cell r="E75" t="str">
            <v>19920109</v>
          </cell>
          <cell r="F75" t="str">
            <v>34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Analog파트(1팀)</v>
          </cell>
        </row>
        <row r="76">
          <cell r="A76" t="str">
            <v>20000093</v>
          </cell>
          <cell r="B76" t="str">
            <v>가학진</v>
          </cell>
          <cell r="C76" t="str">
            <v>9208291155311</v>
          </cell>
          <cell r="D76" t="str">
            <v>남</v>
          </cell>
          <cell r="E76" t="str">
            <v>19920829</v>
          </cell>
          <cell r="F76" t="str">
            <v>34</v>
          </cell>
          <cell r="G76" t="str">
            <v>재직자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Analog파트(2팀)</v>
          </cell>
        </row>
        <row r="77">
          <cell r="A77" t="str">
            <v>20000095</v>
          </cell>
          <cell r="B77" t="str">
            <v>이승화</v>
          </cell>
          <cell r="C77" t="str">
            <v>9607301236511</v>
          </cell>
          <cell r="D77" t="str">
            <v>남</v>
          </cell>
          <cell r="E77" t="str">
            <v>19960730</v>
          </cell>
          <cell r="F77" t="str">
            <v>30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품질팀</v>
          </cell>
        </row>
        <row r="78">
          <cell r="A78" t="str">
            <v>20000096</v>
          </cell>
          <cell r="B78" t="str">
            <v>변지수</v>
          </cell>
          <cell r="C78" t="str">
            <v>9607082078214</v>
          </cell>
          <cell r="D78" t="str">
            <v>여</v>
          </cell>
          <cell r="E78" t="str">
            <v>19960708</v>
          </cell>
          <cell r="F78" t="str">
            <v>30</v>
          </cell>
          <cell r="G78" t="str">
            <v>재직자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SCM담당</v>
          </cell>
        </row>
        <row r="79">
          <cell r="A79" t="str">
            <v>20000097</v>
          </cell>
          <cell r="B79" t="str">
            <v>백인철</v>
          </cell>
          <cell r="C79" t="str">
            <v>8907311496639</v>
          </cell>
          <cell r="D79" t="str">
            <v>남</v>
          </cell>
          <cell r="E79" t="str">
            <v>19890731</v>
          </cell>
          <cell r="F79" t="str">
            <v>37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제품기술팀</v>
          </cell>
        </row>
        <row r="80">
          <cell r="A80" t="str">
            <v>20000098</v>
          </cell>
          <cell r="B80" t="str">
            <v>장진웅</v>
          </cell>
          <cell r="C80" t="str">
            <v>9511171024427</v>
          </cell>
          <cell r="D80" t="str">
            <v>남</v>
          </cell>
          <cell r="E80" t="str">
            <v>19951117</v>
          </cell>
          <cell r="F80" t="str">
            <v>31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Interface파트(1팀)</v>
          </cell>
        </row>
        <row r="81">
          <cell r="A81" t="str">
            <v>20000099</v>
          </cell>
          <cell r="B81" t="str">
            <v>최성민</v>
          </cell>
          <cell r="C81" t="str">
            <v>9501291103415</v>
          </cell>
          <cell r="D81" t="str">
            <v>남</v>
          </cell>
          <cell r="E81" t="str">
            <v>19950129</v>
          </cell>
          <cell r="F81" t="str">
            <v>31</v>
          </cell>
          <cell r="G81" t="str">
            <v>재직자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Logic파트(2팀)</v>
          </cell>
        </row>
        <row r="82">
          <cell r="A82" t="str">
            <v>20000100</v>
          </cell>
          <cell r="B82" t="str">
            <v>유제열</v>
          </cell>
          <cell r="C82" t="str">
            <v>8707091205112</v>
          </cell>
          <cell r="D82" t="str">
            <v>남</v>
          </cell>
          <cell r="E82" t="str">
            <v>19870709</v>
          </cell>
          <cell r="F82" t="str">
            <v>39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PKG파트</v>
          </cell>
        </row>
        <row r="83">
          <cell r="A83" t="str">
            <v>20000102</v>
          </cell>
          <cell r="B83" t="str">
            <v>이정호</v>
          </cell>
          <cell r="C83" t="str">
            <v>9205161080913</v>
          </cell>
          <cell r="D83" t="str">
            <v>남</v>
          </cell>
          <cell r="E83" t="str">
            <v>19920516</v>
          </cell>
          <cell r="F83" t="str">
            <v>34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Logic파트(1팀)</v>
          </cell>
        </row>
        <row r="84">
          <cell r="A84" t="str">
            <v>20000103</v>
          </cell>
          <cell r="B84" t="str">
            <v>정겨운</v>
          </cell>
          <cell r="C84" t="str">
            <v>9207201035613</v>
          </cell>
          <cell r="D84" t="str">
            <v>남</v>
          </cell>
          <cell r="E84" t="str">
            <v>19920720</v>
          </cell>
          <cell r="F84" t="str">
            <v>34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영업팀</v>
          </cell>
        </row>
        <row r="85">
          <cell r="A85" t="str">
            <v>20000104</v>
          </cell>
          <cell r="B85" t="str">
            <v>임나영</v>
          </cell>
          <cell r="C85" t="str">
            <v>9709192085425</v>
          </cell>
          <cell r="D85" t="str">
            <v>여</v>
          </cell>
          <cell r="E85" t="str">
            <v>19970919</v>
          </cell>
          <cell r="F85" t="str">
            <v>29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피플팀</v>
          </cell>
        </row>
        <row r="86">
          <cell r="A86" t="str">
            <v>20000107</v>
          </cell>
          <cell r="B86" t="str">
            <v>김광수</v>
          </cell>
          <cell r="C86" t="str">
            <v>6606191268119</v>
          </cell>
          <cell r="D86" t="str">
            <v>남</v>
          </cell>
          <cell r="E86" t="str">
            <v>19660619</v>
          </cell>
          <cell r="F86" t="str">
            <v>60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임원</v>
          </cell>
          <cell r="L86" t="str">
            <v>경영지원실</v>
          </cell>
        </row>
        <row r="87">
          <cell r="A87" t="str">
            <v>20000108</v>
          </cell>
          <cell r="B87" t="str">
            <v>김성빈</v>
          </cell>
          <cell r="C87" t="str">
            <v>9506251152614</v>
          </cell>
          <cell r="D87" t="str">
            <v>남</v>
          </cell>
          <cell r="E87" t="str">
            <v>19950625</v>
          </cell>
          <cell r="F87" t="str">
            <v>31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Layout팀</v>
          </cell>
        </row>
        <row r="88">
          <cell r="A88" t="str">
            <v>20000109</v>
          </cell>
          <cell r="B88" t="str">
            <v>신현진</v>
          </cell>
          <cell r="C88" t="str">
            <v>7410011810429</v>
          </cell>
          <cell r="D88" t="str">
            <v>남</v>
          </cell>
          <cell r="E88" t="str">
            <v>19741001</v>
          </cell>
          <cell r="F88" t="str">
            <v>52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20000111</v>
          </cell>
          <cell r="B89" t="str">
            <v>김희준</v>
          </cell>
          <cell r="C89" t="str">
            <v>9307231188728</v>
          </cell>
          <cell r="D89" t="str">
            <v>남</v>
          </cell>
          <cell r="E89" t="str">
            <v>19930723</v>
          </cell>
          <cell r="F89" t="str">
            <v>33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Analog파트(1팀)</v>
          </cell>
        </row>
        <row r="90">
          <cell r="A90" t="str">
            <v>20000112</v>
          </cell>
          <cell r="B90" t="str">
            <v>이장현</v>
          </cell>
          <cell r="C90" t="str">
            <v>9402271588116</v>
          </cell>
          <cell r="D90" t="str">
            <v>남</v>
          </cell>
          <cell r="E90" t="str">
            <v>19940227</v>
          </cell>
          <cell r="F90" t="str">
            <v>32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전략구매파트</v>
          </cell>
        </row>
        <row r="91">
          <cell r="A91" t="str">
            <v>20000114</v>
          </cell>
          <cell r="B91" t="str">
            <v>양우선</v>
          </cell>
          <cell r="C91" t="str">
            <v>9107022065911</v>
          </cell>
          <cell r="D91" t="str">
            <v>여</v>
          </cell>
          <cell r="E91" t="str">
            <v>19910702</v>
          </cell>
          <cell r="F91" t="str">
            <v>35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Logic파트(1팀)</v>
          </cell>
        </row>
        <row r="92">
          <cell r="A92" t="str">
            <v>20000116</v>
          </cell>
          <cell r="B92" t="str">
            <v>경명근</v>
          </cell>
          <cell r="C92" t="str">
            <v>9901141155118</v>
          </cell>
          <cell r="D92" t="str">
            <v>남</v>
          </cell>
          <cell r="E92" t="str">
            <v>19990114</v>
          </cell>
          <cell r="F92" t="str">
            <v>27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Layout팀</v>
          </cell>
        </row>
        <row r="93">
          <cell r="A93" t="str">
            <v>20000117</v>
          </cell>
          <cell r="B93" t="str">
            <v>김수민</v>
          </cell>
          <cell r="C93" t="str">
            <v>9110232079417</v>
          </cell>
          <cell r="D93" t="str">
            <v>여</v>
          </cell>
          <cell r="E93" t="str">
            <v>19911023</v>
          </cell>
          <cell r="F93" t="str">
            <v>35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재무관리팀</v>
          </cell>
        </row>
        <row r="94">
          <cell r="A94" t="str">
            <v>20000118</v>
          </cell>
          <cell r="B94" t="str">
            <v>권성재</v>
          </cell>
          <cell r="C94" t="str">
            <v>8211141231015</v>
          </cell>
          <cell r="D94" t="str">
            <v>남</v>
          </cell>
          <cell r="E94" t="str">
            <v>19821114</v>
          </cell>
          <cell r="F94" t="str">
            <v>44</v>
          </cell>
          <cell r="G94" t="str">
            <v>재직자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재무관리팀</v>
          </cell>
        </row>
        <row r="95">
          <cell r="A95" t="str">
            <v>20000119</v>
          </cell>
          <cell r="B95" t="str">
            <v>신창희</v>
          </cell>
          <cell r="C95" t="str">
            <v>7710141122629</v>
          </cell>
          <cell r="D95" t="str">
            <v>남</v>
          </cell>
          <cell r="E95" t="str">
            <v>19771014</v>
          </cell>
          <cell r="F95" t="str">
            <v>49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임원</v>
          </cell>
          <cell r="L95" t="str">
            <v>DDI개발2팀</v>
          </cell>
        </row>
        <row r="96">
          <cell r="A96" t="str">
            <v>20000121</v>
          </cell>
          <cell r="B96" t="str">
            <v>왕단</v>
          </cell>
          <cell r="C96" t="str">
            <v>8406306780290</v>
          </cell>
          <cell r="D96" t="str">
            <v>여</v>
          </cell>
          <cell r="E96" t="str">
            <v>19840630</v>
          </cell>
          <cell r="F96" t="str">
            <v>42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품질팀</v>
          </cell>
        </row>
        <row r="97">
          <cell r="A97" t="str">
            <v>20000123</v>
          </cell>
          <cell r="B97" t="str">
            <v>최민</v>
          </cell>
          <cell r="C97" t="str">
            <v>0002144080722</v>
          </cell>
          <cell r="D97" t="str">
            <v>여</v>
          </cell>
          <cell r="E97" t="str">
            <v>20000214</v>
          </cell>
          <cell r="F97" t="str">
            <v>26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Layout팀</v>
          </cell>
        </row>
        <row r="98">
          <cell r="A98" t="str">
            <v>20000124</v>
          </cell>
          <cell r="B98" t="str">
            <v>윤신</v>
          </cell>
          <cell r="C98" t="str">
            <v>8403061823313</v>
          </cell>
          <cell r="D98" t="str">
            <v>남</v>
          </cell>
          <cell r="E98" t="str">
            <v>19840306</v>
          </cell>
          <cell r="F98" t="str">
            <v>42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Logic파트(2팀)</v>
          </cell>
        </row>
        <row r="99">
          <cell r="A99" t="str">
            <v>20000125</v>
          </cell>
          <cell r="B99" t="str">
            <v>김도현</v>
          </cell>
          <cell r="C99" t="str">
            <v>8911061254337</v>
          </cell>
          <cell r="D99" t="str">
            <v>남</v>
          </cell>
          <cell r="E99" t="str">
            <v>19891106</v>
          </cell>
          <cell r="F99" t="str">
            <v>37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Layout팀</v>
          </cell>
        </row>
        <row r="100">
          <cell r="A100" t="str">
            <v>20000126</v>
          </cell>
          <cell r="B100" t="str">
            <v>정중연</v>
          </cell>
          <cell r="C100" t="str">
            <v>9606231198119</v>
          </cell>
          <cell r="D100" t="str">
            <v>남</v>
          </cell>
          <cell r="E100" t="str">
            <v>19960623</v>
          </cell>
          <cell r="F100" t="str">
            <v>30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Test팀</v>
          </cell>
        </row>
        <row r="101">
          <cell r="A101" t="str">
            <v>20000129</v>
          </cell>
          <cell r="B101" t="str">
            <v>조민준</v>
          </cell>
          <cell r="C101" t="str">
            <v>9611271726816</v>
          </cell>
          <cell r="D101" t="str">
            <v>남</v>
          </cell>
          <cell r="E101" t="str">
            <v>19961127</v>
          </cell>
          <cell r="F101" t="str">
            <v>30</v>
          </cell>
          <cell r="G101" t="str">
            <v>재직자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Interface파트(1팀)</v>
          </cell>
        </row>
        <row r="102">
          <cell r="A102" t="str">
            <v>20000130</v>
          </cell>
          <cell r="B102" t="str">
            <v>이승민</v>
          </cell>
          <cell r="C102" t="str">
            <v>9002081822211</v>
          </cell>
          <cell r="D102" t="str">
            <v>남</v>
          </cell>
          <cell r="E102" t="str">
            <v>19900208</v>
          </cell>
          <cell r="F102" t="str">
            <v>36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Digital IP파트(2팀)</v>
          </cell>
        </row>
        <row r="103">
          <cell r="A103" t="str">
            <v>20000131</v>
          </cell>
          <cell r="B103" t="str">
            <v>유기웅</v>
          </cell>
          <cell r="C103" t="str">
            <v>9510051081518</v>
          </cell>
          <cell r="D103" t="str">
            <v>남</v>
          </cell>
          <cell r="E103" t="str">
            <v>19951005</v>
          </cell>
          <cell r="F103" t="str">
            <v>31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제품기술팀</v>
          </cell>
        </row>
        <row r="104">
          <cell r="A104" t="str">
            <v>20000134</v>
          </cell>
          <cell r="B104" t="str">
            <v>이상태</v>
          </cell>
          <cell r="C104" t="str">
            <v>7609011075219</v>
          </cell>
          <cell r="D104" t="str">
            <v>남</v>
          </cell>
          <cell r="E104" t="str">
            <v>19760901</v>
          </cell>
          <cell r="F104" t="str">
            <v>50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영업팀</v>
          </cell>
        </row>
        <row r="105">
          <cell r="A105" t="str">
            <v>20000137</v>
          </cell>
          <cell r="B105" t="str">
            <v>천승우</v>
          </cell>
          <cell r="C105" t="str">
            <v>8812231125628</v>
          </cell>
          <cell r="D105" t="str">
            <v>남</v>
          </cell>
          <cell r="E105" t="str">
            <v>19881223</v>
          </cell>
          <cell r="F105" t="str">
            <v>38</v>
          </cell>
          <cell r="G105" t="str">
            <v>재직자</v>
          </cell>
          <cell r="H105" t="str">
            <v>판교</v>
          </cell>
          <cell r="I105"/>
          <cell r="J105"/>
          <cell r="K105" t="str">
            <v>기술사무</v>
          </cell>
          <cell r="L105" t="str">
            <v>Layout팀</v>
          </cell>
        </row>
        <row r="106">
          <cell r="A106" t="str">
            <v>20000139</v>
          </cell>
          <cell r="B106" t="str">
            <v>변아름</v>
          </cell>
          <cell r="C106" t="str">
            <v>9301172323518</v>
          </cell>
          <cell r="D106" t="str">
            <v>여</v>
          </cell>
          <cell r="E106" t="str">
            <v>19930117</v>
          </cell>
          <cell r="F106" t="str">
            <v>33</v>
          </cell>
          <cell r="G106" t="str">
            <v>재직자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Layout팀</v>
          </cell>
        </row>
        <row r="107">
          <cell r="A107" t="str">
            <v>20000140</v>
          </cell>
          <cell r="B107" t="str">
            <v>인병화</v>
          </cell>
          <cell r="C107" t="str">
            <v>8603311232815</v>
          </cell>
          <cell r="D107" t="str">
            <v>남</v>
          </cell>
          <cell r="E107" t="str">
            <v>19860331</v>
          </cell>
          <cell r="F107" t="str">
            <v>40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기술사무</v>
          </cell>
          <cell r="L107" t="str">
            <v>Analog파트(1팀)</v>
          </cell>
        </row>
        <row r="108">
          <cell r="A108" t="str">
            <v>20000141</v>
          </cell>
          <cell r="B108" t="str">
            <v>박종훈</v>
          </cell>
          <cell r="C108" t="str">
            <v>9406121300118</v>
          </cell>
          <cell r="D108" t="str">
            <v>남</v>
          </cell>
          <cell r="E108" t="str">
            <v>19940612</v>
          </cell>
          <cell r="F108" t="str">
            <v>32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Logic파트(2팀)</v>
          </cell>
        </row>
        <row r="109">
          <cell r="A109" t="str">
            <v>20000142</v>
          </cell>
          <cell r="B109" t="str">
            <v>김승중</v>
          </cell>
          <cell r="C109" t="str">
            <v>8107221057921</v>
          </cell>
          <cell r="D109" t="str">
            <v>남</v>
          </cell>
          <cell r="E109" t="str">
            <v>19810722</v>
          </cell>
          <cell r="F109" t="str">
            <v>45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피플팀</v>
          </cell>
        </row>
        <row r="110">
          <cell r="A110" t="str">
            <v>20000145</v>
          </cell>
          <cell r="B110" t="str">
            <v>이경원</v>
          </cell>
          <cell r="C110" t="str">
            <v>9608222053123</v>
          </cell>
          <cell r="D110" t="str">
            <v>여</v>
          </cell>
          <cell r="E110" t="str">
            <v>19960822</v>
          </cell>
          <cell r="F110" t="str">
            <v>30</v>
          </cell>
          <cell r="G110" t="str">
            <v>재직자</v>
          </cell>
          <cell r="H110" t="str">
            <v>판교</v>
          </cell>
          <cell r="I110"/>
          <cell r="J110"/>
          <cell r="K110" t="str">
            <v>기술사무</v>
          </cell>
          <cell r="L110" t="str">
            <v>재무관리팀</v>
          </cell>
        </row>
        <row r="111">
          <cell r="A111" t="str">
            <v>20000146</v>
          </cell>
          <cell r="B111" t="str">
            <v>윤성탁</v>
          </cell>
          <cell r="C111" t="str">
            <v>8301231162615</v>
          </cell>
          <cell r="D111" t="str">
            <v>남</v>
          </cell>
          <cell r="E111" t="str">
            <v>19830123</v>
          </cell>
          <cell r="F111" t="str">
            <v>43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Logic파트(2팀)</v>
          </cell>
        </row>
        <row r="112">
          <cell r="A112" t="str">
            <v>20000148</v>
          </cell>
          <cell r="B112" t="str">
            <v>정호용</v>
          </cell>
          <cell r="C112" t="str">
            <v>9405091127310</v>
          </cell>
          <cell r="D112" t="str">
            <v>남</v>
          </cell>
          <cell r="E112" t="str">
            <v>19940509</v>
          </cell>
          <cell r="F112" t="str">
            <v>32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Analog파트(1팀)</v>
          </cell>
        </row>
        <row r="113">
          <cell r="A113" t="str">
            <v>20000151</v>
          </cell>
          <cell r="B113" t="str">
            <v>김형호</v>
          </cell>
          <cell r="C113" t="str">
            <v>8807141183024</v>
          </cell>
          <cell r="D113" t="str">
            <v>남</v>
          </cell>
          <cell r="E113" t="str">
            <v>19880714</v>
          </cell>
          <cell r="F113" t="str">
            <v>38</v>
          </cell>
          <cell r="G113" t="str">
            <v>재직자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영업팀</v>
          </cell>
        </row>
        <row r="114">
          <cell r="A114" t="str">
            <v>20000152</v>
          </cell>
          <cell r="B114" t="str">
            <v>홍형도</v>
          </cell>
          <cell r="C114" t="str">
            <v>8408261182917</v>
          </cell>
          <cell r="D114" t="str">
            <v>남</v>
          </cell>
          <cell r="E114" t="str">
            <v>19840826</v>
          </cell>
          <cell r="F114" t="str">
            <v>42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DDI마케팅파트</v>
          </cell>
        </row>
        <row r="115">
          <cell r="A115" t="str">
            <v>20000154</v>
          </cell>
          <cell r="B115" t="str">
            <v>김민건</v>
          </cell>
          <cell r="C115" t="str">
            <v>8109261065711</v>
          </cell>
          <cell r="D115" t="str">
            <v>남</v>
          </cell>
          <cell r="E115" t="str">
            <v>19810926</v>
          </cell>
          <cell r="F115" t="str">
            <v>45</v>
          </cell>
          <cell r="G115" t="str">
            <v>재직자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영업팀</v>
          </cell>
        </row>
        <row r="116">
          <cell r="A116" t="str">
            <v>20000155</v>
          </cell>
          <cell r="B116" t="str">
            <v>배윤미</v>
          </cell>
          <cell r="C116" t="str">
            <v>7909222768233</v>
          </cell>
          <cell r="D116" t="str">
            <v>여</v>
          </cell>
          <cell r="E116" t="str">
            <v>19790922</v>
          </cell>
          <cell r="F116" t="str">
            <v>47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재무관리팀</v>
          </cell>
        </row>
        <row r="117">
          <cell r="A117" t="str">
            <v>20000158</v>
          </cell>
          <cell r="B117" t="str">
            <v>이재현</v>
          </cell>
          <cell r="C117" t="str">
            <v>9609021351913</v>
          </cell>
          <cell r="D117" t="str">
            <v>남</v>
          </cell>
          <cell r="E117" t="str">
            <v>19960902</v>
          </cell>
          <cell r="F117" t="str">
            <v>30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IT파트</v>
          </cell>
        </row>
        <row r="118">
          <cell r="A118" t="str">
            <v>20000163</v>
          </cell>
          <cell r="B118" t="str">
            <v>조아연</v>
          </cell>
          <cell r="C118" t="str">
            <v>9712232170221</v>
          </cell>
          <cell r="D118" t="str">
            <v>여</v>
          </cell>
          <cell r="E118" t="str">
            <v>19971223</v>
          </cell>
          <cell r="F118" t="str">
            <v>29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2파트</v>
          </cell>
        </row>
        <row r="119">
          <cell r="A119" t="str">
            <v>20000164</v>
          </cell>
          <cell r="B119" t="str">
            <v>강대현</v>
          </cell>
          <cell r="C119" t="str">
            <v>9811201188316</v>
          </cell>
          <cell r="D119" t="str">
            <v>남</v>
          </cell>
          <cell r="E119" t="str">
            <v>19981120</v>
          </cell>
          <cell r="F119" t="str">
            <v>28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기술사무</v>
          </cell>
          <cell r="L119" t="str">
            <v>Layout팀</v>
          </cell>
        </row>
        <row r="120">
          <cell r="A120" t="str">
            <v>20000166</v>
          </cell>
          <cell r="B120" t="str">
            <v>강동균</v>
          </cell>
          <cell r="C120" t="str">
            <v>0001083696519</v>
          </cell>
          <cell r="D120" t="str">
            <v>남</v>
          </cell>
          <cell r="E120" t="str">
            <v>20000108</v>
          </cell>
          <cell r="F120" t="str">
            <v>26</v>
          </cell>
          <cell r="G120" t="str">
            <v>재직자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외주생산파트</v>
          </cell>
        </row>
        <row r="121">
          <cell r="A121" t="str">
            <v>20000167</v>
          </cell>
          <cell r="B121" t="str">
            <v>최강준</v>
          </cell>
          <cell r="C121" t="str">
            <v>9802191560412</v>
          </cell>
          <cell r="D121" t="str">
            <v>남</v>
          </cell>
          <cell r="E121" t="str">
            <v>19980219</v>
          </cell>
          <cell r="F121" t="str">
            <v>28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전략구매파트</v>
          </cell>
        </row>
        <row r="122">
          <cell r="A122" t="str">
            <v>20000168</v>
          </cell>
          <cell r="B122" t="str">
            <v>김지원</v>
          </cell>
          <cell r="C122" t="str">
            <v>0002194674418</v>
          </cell>
          <cell r="D122" t="str">
            <v>여</v>
          </cell>
          <cell r="E122" t="str">
            <v>20000219</v>
          </cell>
          <cell r="F122" t="str">
            <v>26</v>
          </cell>
          <cell r="G122" t="str">
            <v>재직자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Logic파트(1팀)</v>
          </cell>
        </row>
        <row r="123">
          <cell r="A123" t="str">
            <v>20000170</v>
          </cell>
          <cell r="B123" t="str">
            <v>이호현</v>
          </cell>
          <cell r="C123" t="str">
            <v>9611291248014</v>
          </cell>
          <cell r="D123" t="str">
            <v>남</v>
          </cell>
          <cell r="E123" t="str">
            <v>19961129</v>
          </cell>
          <cell r="F123" t="str">
            <v>30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Analog파트(2팀)</v>
          </cell>
        </row>
        <row r="124">
          <cell r="A124" t="str">
            <v>20000171</v>
          </cell>
          <cell r="B124" t="str">
            <v>권기헌</v>
          </cell>
          <cell r="C124" t="str">
            <v>9611161034819</v>
          </cell>
          <cell r="D124" t="str">
            <v>남</v>
          </cell>
          <cell r="E124" t="str">
            <v>19961116</v>
          </cell>
          <cell r="F124" t="str">
            <v>30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Logic파트(2팀)</v>
          </cell>
        </row>
        <row r="125">
          <cell r="A125" t="str">
            <v>20000172</v>
          </cell>
          <cell r="B125" t="str">
            <v>박정은</v>
          </cell>
          <cell r="C125" t="str">
            <v>9907072200616</v>
          </cell>
          <cell r="D125" t="str">
            <v>여</v>
          </cell>
          <cell r="E125" t="str">
            <v>19990707</v>
          </cell>
          <cell r="F125" t="str">
            <v>27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Logic파트(2팀)</v>
          </cell>
        </row>
        <row r="126">
          <cell r="A126" t="str">
            <v>20000173</v>
          </cell>
          <cell r="B126" t="str">
            <v>백종대</v>
          </cell>
          <cell r="C126" t="str">
            <v>9311061169516</v>
          </cell>
          <cell r="D126" t="str">
            <v>남</v>
          </cell>
          <cell r="E126" t="str">
            <v>19931106</v>
          </cell>
          <cell r="F126" t="str">
            <v>33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계약</v>
          </cell>
          <cell r="L126" t="str">
            <v>피플팀</v>
          </cell>
        </row>
        <row r="127">
          <cell r="A127" t="str">
            <v>20000174</v>
          </cell>
          <cell r="B127" t="str">
            <v>김형필</v>
          </cell>
          <cell r="C127" t="str">
            <v>8711261303015</v>
          </cell>
          <cell r="D127" t="str">
            <v>남</v>
          </cell>
          <cell r="E127" t="str">
            <v>19871126</v>
          </cell>
          <cell r="F127" t="str">
            <v>39</v>
          </cell>
          <cell r="G127" t="str">
            <v>재직자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Analog파트(2팀)</v>
          </cell>
        </row>
        <row r="128">
          <cell r="A128" t="str">
            <v>20000176</v>
          </cell>
          <cell r="B128" t="str">
            <v>강의진</v>
          </cell>
          <cell r="C128" t="str">
            <v>9807032831227</v>
          </cell>
          <cell r="D128" t="str">
            <v>여</v>
          </cell>
          <cell r="E128" t="str">
            <v>19980703</v>
          </cell>
          <cell r="F128" t="str">
            <v>28</v>
          </cell>
          <cell r="G128" t="str">
            <v>재직자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Digital IP파트(2팀)</v>
          </cell>
        </row>
        <row r="129">
          <cell r="A129" t="str">
            <v>20000177</v>
          </cell>
          <cell r="B129" t="str">
            <v>정영욱</v>
          </cell>
          <cell r="C129" t="str">
            <v>9312241052811</v>
          </cell>
          <cell r="D129" t="str">
            <v>남</v>
          </cell>
          <cell r="E129" t="str">
            <v>19931224</v>
          </cell>
          <cell r="F129" t="str">
            <v>33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피플팀</v>
          </cell>
        </row>
        <row r="130">
          <cell r="A130" t="str">
            <v>20000178</v>
          </cell>
          <cell r="B130" t="str">
            <v>이조운</v>
          </cell>
          <cell r="C130" t="str">
            <v>7808031057437</v>
          </cell>
          <cell r="D130" t="str">
            <v>남</v>
          </cell>
          <cell r="E130" t="str">
            <v>19780803</v>
          </cell>
          <cell r="F130" t="str">
            <v>48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ESD팀</v>
          </cell>
        </row>
        <row r="131">
          <cell r="A131" t="str">
            <v>20000179</v>
          </cell>
          <cell r="B131" t="str">
            <v>박원석</v>
          </cell>
          <cell r="C131" t="str">
            <v>8605211042015</v>
          </cell>
          <cell r="D131" t="str">
            <v>남</v>
          </cell>
          <cell r="E131" t="str">
            <v>19860521</v>
          </cell>
          <cell r="F131" t="str">
            <v>40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ESD팀</v>
          </cell>
        </row>
        <row r="132">
          <cell r="A132" t="str">
            <v>20000180</v>
          </cell>
          <cell r="B132" t="str">
            <v>김동욱</v>
          </cell>
          <cell r="C132" t="str">
            <v>9505061067211</v>
          </cell>
          <cell r="D132" t="str">
            <v>남</v>
          </cell>
          <cell r="E132" t="str">
            <v>19950506</v>
          </cell>
          <cell r="F132" t="str">
            <v>31</v>
          </cell>
          <cell r="G132" t="str">
            <v>재직자</v>
          </cell>
          <cell r="H132" t="str">
            <v>판교</v>
          </cell>
          <cell r="I132"/>
          <cell r="J132"/>
          <cell r="K132" t="str">
            <v>기술사무</v>
          </cell>
          <cell r="L132" t="str">
            <v>1파트</v>
          </cell>
        </row>
        <row r="133">
          <cell r="A133" t="str">
            <v>20000181</v>
          </cell>
          <cell r="B133" t="str">
            <v>이용준</v>
          </cell>
          <cell r="C133" t="str">
            <v>9704211163026</v>
          </cell>
          <cell r="D133" t="str">
            <v>남</v>
          </cell>
          <cell r="E133" t="str">
            <v>19970421</v>
          </cell>
          <cell r="F133" t="str">
            <v>29</v>
          </cell>
          <cell r="G133" t="str">
            <v>재직자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Analog파트(2팀)</v>
          </cell>
        </row>
        <row r="134">
          <cell r="A134" t="str">
            <v>20000182</v>
          </cell>
          <cell r="B134" t="str">
            <v>진유남</v>
          </cell>
          <cell r="C134" t="str">
            <v>9711222108516</v>
          </cell>
          <cell r="D134" t="str">
            <v>여</v>
          </cell>
          <cell r="E134" t="str">
            <v>19971122</v>
          </cell>
          <cell r="F134" t="str">
            <v>29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2파트</v>
          </cell>
        </row>
        <row r="135">
          <cell r="A135" t="str">
            <v>20000183</v>
          </cell>
          <cell r="B135" t="str">
            <v>공수현</v>
          </cell>
          <cell r="C135" t="str">
            <v>8311191344215</v>
          </cell>
          <cell r="D135" t="str">
            <v>남</v>
          </cell>
          <cell r="E135" t="str">
            <v>19831119</v>
          </cell>
          <cell r="F135" t="str">
            <v>43</v>
          </cell>
          <cell r="G135" t="str">
            <v>재직자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제품기술팀</v>
          </cell>
        </row>
        <row r="136">
          <cell r="A136" t="str">
            <v>20000184</v>
          </cell>
          <cell r="B136" t="str">
            <v>김세호</v>
          </cell>
          <cell r="C136" t="str">
            <v>8901175920068</v>
          </cell>
          <cell r="D136" t="str">
            <v>남</v>
          </cell>
          <cell r="E136" t="str">
            <v>19890117</v>
          </cell>
          <cell r="F136" t="str">
            <v>37</v>
          </cell>
          <cell r="G136" t="str">
            <v>재직자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Logic파트(1팀)</v>
          </cell>
        </row>
        <row r="137">
          <cell r="A137" t="str">
            <v>20000185</v>
          </cell>
          <cell r="B137" t="str">
            <v>조준형</v>
          </cell>
          <cell r="C137" t="str">
            <v>9501091171419</v>
          </cell>
          <cell r="D137" t="str">
            <v>남</v>
          </cell>
          <cell r="E137" t="str">
            <v>19950109</v>
          </cell>
          <cell r="F137" t="str">
            <v>31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Analog파트(2팀)</v>
          </cell>
        </row>
        <row r="138">
          <cell r="A138" t="str">
            <v>20000186</v>
          </cell>
          <cell r="B138" t="str">
            <v>변승찬</v>
          </cell>
          <cell r="C138" t="str">
            <v>7702131149419</v>
          </cell>
          <cell r="D138" t="str">
            <v>남</v>
          </cell>
          <cell r="E138" t="str">
            <v>19770213</v>
          </cell>
          <cell r="F138" t="str">
            <v>49</v>
          </cell>
          <cell r="G138" t="str">
            <v>재직자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Digital IP파트(2팀)</v>
          </cell>
        </row>
        <row r="139">
          <cell r="A139" t="str">
            <v>20000187</v>
          </cell>
          <cell r="B139" t="str">
            <v>박찬호</v>
          </cell>
          <cell r="C139" t="str">
            <v>6401025100376</v>
          </cell>
          <cell r="D139" t="str">
            <v>남</v>
          </cell>
          <cell r="E139" t="str">
            <v>19640102</v>
          </cell>
          <cell r="F139" t="str">
            <v>62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임원</v>
          </cell>
          <cell r="L139" t="str">
            <v>DB글로벌칩</v>
          </cell>
        </row>
        <row r="140">
          <cell r="A140" t="str">
            <v>20000188</v>
          </cell>
          <cell r="B140" t="str">
            <v>김병용</v>
          </cell>
          <cell r="C140" t="str">
            <v>8408271350819</v>
          </cell>
          <cell r="D140" t="str">
            <v>남</v>
          </cell>
          <cell r="E140" t="str">
            <v>19840827</v>
          </cell>
          <cell r="F140" t="str">
            <v>42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기술사무</v>
          </cell>
          <cell r="L140" t="str">
            <v>Analog파트(2팀)</v>
          </cell>
        </row>
        <row r="141">
          <cell r="A141" t="str">
            <v>20000189</v>
          </cell>
          <cell r="B141" t="str">
            <v>이태호</v>
          </cell>
          <cell r="C141" t="str">
            <v>9509181025628</v>
          </cell>
          <cell r="D141" t="str">
            <v>남</v>
          </cell>
          <cell r="E141" t="str">
            <v>19950918</v>
          </cell>
          <cell r="F141" t="str">
            <v>31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기술사무</v>
          </cell>
          <cell r="L141" t="str">
            <v>Layout팀</v>
          </cell>
        </row>
        <row r="142">
          <cell r="A142" t="str">
            <v>20000190</v>
          </cell>
          <cell r="B142" t="str">
            <v>최윤서</v>
          </cell>
          <cell r="C142" t="str">
            <v>9808262209210</v>
          </cell>
          <cell r="D142" t="str">
            <v>여</v>
          </cell>
          <cell r="E142" t="str">
            <v>19980826</v>
          </cell>
          <cell r="F142" t="str">
            <v>28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ESD팀</v>
          </cell>
        </row>
        <row r="143">
          <cell r="A143" t="str">
            <v>20000191</v>
          </cell>
          <cell r="B143" t="str">
            <v>육흥섭</v>
          </cell>
          <cell r="C143" t="str">
            <v>8902091149739</v>
          </cell>
          <cell r="D143" t="str">
            <v>남</v>
          </cell>
          <cell r="E143" t="str">
            <v>19890209</v>
          </cell>
          <cell r="F143" t="str">
            <v>37</v>
          </cell>
          <cell r="G143" t="str">
            <v>재직자</v>
          </cell>
          <cell r="H143" t="str">
            <v>판교</v>
          </cell>
          <cell r="I143"/>
          <cell r="J143"/>
          <cell r="K143" t="str">
            <v>기술사무</v>
          </cell>
          <cell r="L143" t="str">
            <v>PKG파트</v>
          </cell>
        </row>
        <row r="144">
          <cell r="A144" t="str">
            <v>20000192</v>
          </cell>
          <cell r="B144" t="str">
            <v>이민수</v>
          </cell>
          <cell r="C144" t="str">
            <v>9501221150221</v>
          </cell>
          <cell r="D144" t="str">
            <v>남</v>
          </cell>
          <cell r="E144" t="str">
            <v>19950122</v>
          </cell>
          <cell r="F144" t="str">
            <v>31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품질팀</v>
          </cell>
        </row>
        <row r="145">
          <cell r="A145" t="str">
            <v>20000193</v>
          </cell>
          <cell r="B145" t="str">
            <v>허용무</v>
          </cell>
          <cell r="C145" t="str">
            <v>8106081520318</v>
          </cell>
          <cell r="D145" t="str">
            <v>남</v>
          </cell>
          <cell r="E145" t="str">
            <v>19810608</v>
          </cell>
          <cell r="F145" t="str">
            <v>45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제품기술팀</v>
          </cell>
        </row>
        <row r="146">
          <cell r="A146" t="str">
            <v>20000194</v>
          </cell>
          <cell r="B146" t="str">
            <v>정민혜</v>
          </cell>
          <cell r="C146" t="str">
            <v>0001034056322</v>
          </cell>
          <cell r="D146" t="str">
            <v>여</v>
          </cell>
          <cell r="E146" t="str">
            <v>20000103</v>
          </cell>
          <cell r="F146" t="str">
            <v>26</v>
          </cell>
          <cell r="G146" t="str">
            <v>재직자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Logic파트(2팀)</v>
          </cell>
        </row>
        <row r="147">
          <cell r="A147" t="str">
            <v>20000195</v>
          </cell>
          <cell r="B147" t="str">
            <v>이수연</v>
          </cell>
          <cell r="C147" t="str">
            <v>0207184520318</v>
          </cell>
          <cell r="D147" t="str">
            <v>여</v>
          </cell>
          <cell r="E147" t="str">
            <v>20020718</v>
          </cell>
          <cell r="F147" t="str">
            <v>24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계약</v>
          </cell>
          <cell r="L147" t="str">
            <v>장애인 선수단</v>
          </cell>
        </row>
        <row r="148">
          <cell r="A148" t="str">
            <v>20000196</v>
          </cell>
          <cell r="B148" t="str">
            <v>이지영</v>
          </cell>
          <cell r="C148" t="str">
            <v>8009212080516</v>
          </cell>
          <cell r="D148" t="str">
            <v>여</v>
          </cell>
          <cell r="E148" t="str">
            <v>19800921</v>
          </cell>
          <cell r="F148" t="str">
            <v>46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계약</v>
          </cell>
          <cell r="L148" t="str">
            <v>장애인 선수단</v>
          </cell>
        </row>
        <row r="149">
          <cell r="A149" t="str">
            <v>20000197</v>
          </cell>
          <cell r="B149" t="str">
            <v>유소연</v>
          </cell>
          <cell r="C149" t="str">
            <v>9505212163313</v>
          </cell>
          <cell r="D149" t="str">
            <v>여</v>
          </cell>
          <cell r="E149" t="str">
            <v>19950521</v>
          </cell>
          <cell r="F149" t="str">
            <v>31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피플팀</v>
          </cell>
        </row>
        <row r="150">
          <cell r="A150" t="str">
            <v>20000200</v>
          </cell>
          <cell r="B150" t="str">
            <v>김기열</v>
          </cell>
          <cell r="C150" t="str">
            <v>9807131803213</v>
          </cell>
          <cell r="D150" t="str">
            <v>남</v>
          </cell>
          <cell r="E150" t="str">
            <v>19980713</v>
          </cell>
          <cell r="F150" t="str">
            <v>28</v>
          </cell>
          <cell r="G150" t="str">
            <v>재직자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Logic파트(1팀)</v>
          </cell>
        </row>
        <row r="151">
          <cell r="A151" t="str">
            <v>20000204</v>
          </cell>
          <cell r="B151" t="str">
            <v>정세민</v>
          </cell>
          <cell r="C151" t="str">
            <v>9808211711517</v>
          </cell>
          <cell r="D151" t="str">
            <v>남</v>
          </cell>
          <cell r="E151" t="str">
            <v>19980821</v>
          </cell>
          <cell r="F151" t="str">
            <v>28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Logic파트(1팀)</v>
          </cell>
        </row>
        <row r="152">
          <cell r="A152" t="str">
            <v>20000205</v>
          </cell>
          <cell r="B152" t="str">
            <v>이준민</v>
          </cell>
          <cell r="C152" t="str">
            <v>9603221199847</v>
          </cell>
          <cell r="D152" t="str">
            <v>남</v>
          </cell>
          <cell r="E152" t="str">
            <v>19960322</v>
          </cell>
          <cell r="F152" t="str">
            <v>30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Analog파트(1팀)</v>
          </cell>
        </row>
        <row r="153">
          <cell r="A153" t="str">
            <v>20000206</v>
          </cell>
          <cell r="B153" t="str">
            <v>목정수</v>
          </cell>
          <cell r="C153" t="str">
            <v>9809291046819</v>
          </cell>
          <cell r="D153" t="str">
            <v>남</v>
          </cell>
          <cell r="E153" t="str">
            <v>19980929</v>
          </cell>
          <cell r="F153" t="str">
            <v>28</v>
          </cell>
          <cell r="G153" t="str">
            <v>재직자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Interface파트(1팀)</v>
          </cell>
        </row>
        <row r="154">
          <cell r="A154" t="str">
            <v>20000207</v>
          </cell>
          <cell r="B154" t="str">
            <v>한시연</v>
          </cell>
          <cell r="C154" t="str">
            <v>0010244094212</v>
          </cell>
          <cell r="D154" t="str">
            <v>여</v>
          </cell>
          <cell r="E154" t="str">
            <v>20001024</v>
          </cell>
          <cell r="F154" t="str">
            <v>26</v>
          </cell>
          <cell r="G154" t="str">
            <v>재직자</v>
          </cell>
          <cell r="H154" t="str">
            <v>판교</v>
          </cell>
          <cell r="I154"/>
          <cell r="J154"/>
          <cell r="K154" t="str">
            <v>기술사무</v>
          </cell>
          <cell r="L154" t="str">
            <v>Logic파트(2팀)</v>
          </cell>
        </row>
        <row r="155">
          <cell r="A155" t="str">
            <v>20000208</v>
          </cell>
          <cell r="B155" t="str">
            <v>최효정</v>
          </cell>
          <cell r="C155" t="str">
            <v>9803162127111</v>
          </cell>
          <cell r="D155" t="str">
            <v>여</v>
          </cell>
          <cell r="E155" t="str">
            <v>19980316</v>
          </cell>
          <cell r="F155" t="str">
            <v>28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Digital IP파트(2팀)</v>
          </cell>
        </row>
        <row r="156">
          <cell r="A156" t="str">
            <v>20000209</v>
          </cell>
          <cell r="B156" t="str">
            <v>김봉수</v>
          </cell>
          <cell r="C156" t="str">
            <v>9610241407911</v>
          </cell>
          <cell r="D156" t="str">
            <v>남</v>
          </cell>
          <cell r="E156" t="str">
            <v>19961024</v>
          </cell>
          <cell r="F156" t="str">
            <v>30</v>
          </cell>
          <cell r="G156" t="str">
            <v>재직자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Analog파트(2팀)</v>
          </cell>
        </row>
        <row r="157">
          <cell r="A157" t="str">
            <v>20000210</v>
          </cell>
          <cell r="B157" t="str">
            <v>한유리</v>
          </cell>
          <cell r="C157" t="str">
            <v>9906242685254</v>
          </cell>
          <cell r="D157" t="str">
            <v>여</v>
          </cell>
          <cell r="E157" t="str">
            <v>19990624</v>
          </cell>
          <cell r="F157" t="str">
            <v>27</v>
          </cell>
          <cell r="G157" t="str">
            <v>재직자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2파트</v>
          </cell>
        </row>
        <row r="158">
          <cell r="A158" t="str">
            <v>20000211</v>
          </cell>
          <cell r="B158" t="str">
            <v>김채원</v>
          </cell>
          <cell r="C158" t="str">
            <v>9310061077213</v>
          </cell>
          <cell r="D158" t="str">
            <v>남</v>
          </cell>
          <cell r="E158" t="str">
            <v>19931006</v>
          </cell>
          <cell r="F158" t="str">
            <v>33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1파트</v>
          </cell>
        </row>
        <row r="159">
          <cell r="A159" t="str">
            <v>20000213</v>
          </cell>
          <cell r="B159" t="str">
            <v>주유진</v>
          </cell>
          <cell r="C159" t="str">
            <v>9504262051910</v>
          </cell>
          <cell r="D159" t="str">
            <v>여</v>
          </cell>
          <cell r="E159" t="str">
            <v>19950426</v>
          </cell>
          <cell r="F159" t="str">
            <v>31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재무관리팀</v>
          </cell>
        </row>
        <row r="160">
          <cell r="A160" t="str">
            <v>20000214</v>
          </cell>
          <cell r="B160" t="str">
            <v>문보영</v>
          </cell>
          <cell r="C160" t="str">
            <v>7909121637318</v>
          </cell>
          <cell r="D160" t="str">
            <v>남</v>
          </cell>
          <cell r="E160" t="str">
            <v>19790912</v>
          </cell>
          <cell r="F160" t="str">
            <v>47</v>
          </cell>
          <cell r="G160" t="str">
            <v>재직자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영업팀</v>
          </cell>
        </row>
        <row r="161">
          <cell r="A161" t="str">
            <v>20000215</v>
          </cell>
          <cell r="B161" t="str">
            <v>이광수</v>
          </cell>
          <cell r="C161" t="str">
            <v>7106011540919</v>
          </cell>
          <cell r="D161" t="str">
            <v>남</v>
          </cell>
          <cell r="E161" t="str">
            <v>19710601</v>
          </cell>
          <cell r="F161" t="str">
            <v>55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임원</v>
          </cell>
          <cell r="L161" t="str">
            <v>영업담당</v>
          </cell>
        </row>
        <row r="162">
          <cell r="A162" t="str">
            <v>20000216</v>
          </cell>
          <cell r="B162" t="str">
            <v>황준우</v>
          </cell>
          <cell r="C162" t="str">
            <v>9511211034818</v>
          </cell>
          <cell r="D162" t="str">
            <v>남</v>
          </cell>
          <cell r="E162" t="str">
            <v>19951121</v>
          </cell>
          <cell r="F162" t="str">
            <v>31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Layout팀</v>
          </cell>
        </row>
        <row r="163">
          <cell r="A163" t="str">
            <v>20000217</v>
          </cell>
          <cell r="B163" t="str">
            <v>진현우</v>
          </cell>
          <cell r="C163" t="str">
            <v>9002281052017</v>
          </cell>
          <cell r="D163" t="str">
            <v>남</v>
          </cell>
          <cell r="E163" t="str">
            <v>19900228</v>
          </cell>
          <cell r="F163" t="str">
            <v>36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Digital IP파트(2팀)</v>
          </cell>
        </row>
        <row r="164">
          <cell r="A164" t="str">
            <v>20000218</v>
          </cell>
          <cell r="B164" t="str">
            <v>최재봉</v>
          </cell>
          <cell r="C164" t="str">
            <v>8709161391210</v>
          </cell>
          <cell r="D164" t="str">
            <v>남</v>
          </cell>
          <cell r="E164" t="str">
            <v>19870916</v>
          </cell>
          <cell r="F164" t="str">
            <v>39</v>
          </cell>
          <cell r="G164" t="str">
            <v>재직자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Logic파트(2팀)</v>
          </cell>
        </row>
        <row r="165">
          <cell r="A165" t="str">
            <v>20000219</v>
          </cell>
          <cell r="B165" t="str">
            <v>이상우</v>
          </cell>
          <cell r="C165" t="str">
            <v>9106221143517</v>
          </cell>
          <cell r="D165" t="str">
            <v>남</v>
          </cell>
          <cell r="E165" t="str">
            <v>19910622</v>
          </cell>
          <cell r="F165" t="str">
            <v>35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Digital IP파트(2팀)</v>
          </cell>
        </row>
        <row r="166">
          <cell r="A166" t="str">
            <v>20000220</v>
          </cell>
          <cell r="B166" t="str">
            <v>박휘수</v>
          </cell>
          <cell r="C166" t="str">
            <v>9406061167510</v>
          </cell>
          <cell r="D166" t="str">
            <v>남</v>
          </cell>
          <cell r="E166" t="str">
            <v>19940606</v>
          </cell>
          <cell r="F166" t="str">
            <v>32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Logic파트(2팀)</v>
          </cell>
        </row>
        <row r="167">
          <cell r="A167" t="str">
            <v>20000223</v>
          </cell>
          <cell r="B167" t="str">
            <v>김영웅</v>
          </cell>
          <cell r="C167" t="str">
            <v>9910191183918</v>
          </cell>
          <cell r="D167" t="str">
            <v>남</v>
          </cell>
          <cell r="E167" t="str">
            <v>19991019</v>
          </cell>
          <cell r="F167" t="str">
            <v>27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Layout팀</v>
          </cell>
        </row>
        <row r="168">
          <cell r="A168" t="str">
            <v>20000224</v>
          </cell>
          <cell r="B168" t="str">
            <v>이명학</v>
          </cell>
          <cell r="C168" t="str">
            <v>9001181392816</v>
          </cell>
          <cell r="D168" t="str">
            <v>남</v>
          </cell>
          <cell r="E168" t="str">
            <v>19900118</v>
          </cell>
          <cell r="F168" t="str">
            <v>36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기술사무</v>
          </cell>
          <cell r="L168" t="str">
            <v>Analog파트(2팀)</v>
          </cell>
        </row>
        <row r="169">
          <cell r="A169" t="str">
            <v>20000225</v>
          </cell>
          <cell r="B169" t="str">
            <v>김대봉</v>
          </cell>
          <cell r="C169" t="str">
            <v>6904151633111</v>
          </cell>
          <cell r="D169" t="str">
            <v>남</v>
          </cell>
          <cell r="E169" t="str">
            <v>19690415</v>
          </cell>
          <cell r="F169" t="str">
            <v>57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PMIC사업담당</v>
          </cell>
        </row>
        <row r="170">
          <cell r="A170" t="str">
            <v>20000227</v>
          </cell>
          <cell r="B170" t="str">
            <v>문경록</v>
          </cell>
          <cell r="C170" t="str">
            <v>7810121559231</v>
          </cell>
          <cell r="D170" t="str">
            <v>남</v>
          </cell>
          <cell r="E170" t="str">
            <v>19781012</v>
          </cell>
          <cell r="F170" t="str">
            <v>48</v>
          </cell>
          <cell r="G170" t="str">
            <v>재직자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PMIC마케팅파트</v>
          </cell>
        </row>
        <row r="171">
          <cell r="A171" t="str">
            <v>20000228</v>
          </cell>
          <cell r="B171" t="str">
            <v>이동매</v>
          </cell>
          <cell r="C171" t="str">
            <v>9201236920102</v>
          </cell>
          <cell r="D171" t="str">
            <v>여</v>
          </cell>
          <cell r="E171" t="str">
            <v>19920123</v>
          </cell>
          <cell r="F171" t="str">
            <v>34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DDI마케팅파트</v>
          </cell>
        </row>
        <row r="172">
          <cell r="A172" t="str">
            <v>20000229</v>
          </cell>
          <cell r="B172" t="str">
            <v>최상신</v>
          </cell>
          <cell r="C172" t="str">
            <v>7210061639324</v>
          </cell>
          <cell r="D172" t="str">
            <v>남</v>
          </cell>
          <cell r="E172" t="str">
            <v>19721006</v>
          </cell>
          <cell r="F172" t="str">
            <v>54</v>
          </cell>
          <cell r="G172" t="str">
            <v>재직자</v>
          </cell>
          <cell r="H172" t="str">
            <v>판교</v>
          </cell>
          <cell r="I172"/>
          <cell r="J172"/>
          <cell r="K172" t="str">
            <v>기술사무</v>
          </cell>
          <cell r="L172" t="str">
            <v>Digital IP파트(2팀)</v>
          </cell>
        </row>
        <row r="173">
          <cell r="A173" t="str">
            <v>20000230</v>
          </cell>
          <cell r="B173" t="str">
            <v>박창선</v>
          </cell>
          <cell r="C173" t="str">
            <v>7311271481815</v>
          </cell>
          <cell r="D173" t="str">
            <v>남</v>
          </cell>
          <cell r="E173" t="str">
            <v>19731127</v>
          </cell>
          <cell r="F173" t="str">
            <v>53</v>
          </cell>
          <cell r="G173" t="str">
            <v>재직자</v>
          </cell>
          <cell r="H173" t="str">
            <v>판교</v>
          </cell>
          <cell r="I173"/>
          <cell r="J173"/>
          <cell r="K173" t="str">
            <v>기술사무</v>
          </cell>
          <cell r="L173" t="str">
            <v>Logic파트(1팀)</v>
          </cell>
        </row>
        <row r="174">
          <cell r="A174" t="str">
            <v>20000231</v>
          </cell>
          <cell r="B174" t="str">
            <v>김정현</v>
          </cell>
          <cell r="C174" t="str">
            <v>7702031058510</v>
          </cell>
          <cell r="D174" t="str">
            <v>남</v>
          </cell>
          <cell r="E174" t="str">
            <v>19770203</v>
          </cell>
          <cell r="F174" t="str">
            <v>49</v>
          </cell>
          <cell r="G174" t="str">
            <v>재직자</v>
          </cell>
          <cell r="H174" t="str">
            <v>판교</v>
          </cell>
          <cell r="I174"/>
          <cell r="J174"/>
          <cell r="K174" t="str">
            <v>기술사무</v>
          </cell>
          <cell r="L174" t="str">
            <v>2파트</v>
          </cell>
        </row>
        <row r="175">
          <cell r="A175" t="str">
            <v>20000232</v>
          </cell>
          <cell r="B175" t="str">
            <v>홍다솜</v>
          </cell>
          <cell r="C175" t="str">
            <v>9210042063214</v>
          </cell>
          <cell r="D175" t="str">
            <v>여</v>
          </cell>
          <cell r="E175" t="str">
            <v>19921004</v>
          </cell>
          <cell r="F175" t="str">
            <v>34</v>
          </cell>
          <cell r="G175" t="str">
            <v>재직자</v>
          </cell>
          <cell r="H175" t="str">
            <v>판교</v>
          </cell>
          <cell r="I175"/>
          <cell r="J175"/>
          <cell r="K175" t="str">
            <v>기술사무</v>
          </cell>
          <cell r="L175" t="str">
            <v>제품기술팀</v>
          </cell>
        </row>
        <row r="176">
          <cell r="A176" t="str">
            <v>20000233</v>
          </cell>
          <cell r="B176" t="str">
            <v>유세현</v>
          </cell>
          <cell r="C176" t="str">
            <v>9511041218710</v>
          </cell>
          <cell r="D176" t="str">
            <v>남</v>
          </cell>
          <cell r="E176" t="str">
            <v>19951104</v>
          </cell>
          <cell r="F176" t="str">
            <v>31</v>
          </cell>
          <cell r="G176" t="str">
            <v>재직자</v>
          </cell>
          <cell r="H176" t="str">
            <v>판교</v>
          </cell>
          <cell r="I176"/>
          <cell r="J176"/>
          <cell r="K176" t="str">
            <v>기술사무</v>
          </cell>
          <cell r="L176" t="str">
            <v>Logic파트(1팀)</v>
          </cell>
        </row>
        <row r="177">
          <cell r="A177" t="str">
            <v>20000235</v>
          </cell>
          <cell r="B177" t="str">
            <v>김윤종</v>
          </cell>
          <cell r="C177" t="str">
            <v>7406161011714</v>
          </cell>
          <cell r="D177" t="str">
            <v>남</v>
          </cell>
          <cell r="E177" t="str">
            <v>19740616</v>
          </cell>
          <cell r="F177" t="str">
            <v>52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Logic파트(2팀)</v>
          </cell>
        </row>
        <row r="178">
          <cell r="A178" t="str">
            <v>20000236</v>
          </cell>
          <cell r="B178" t="str">
            <v>이종수</v>
          </cell>
          <cell r="C178" t="str">
            <v>8201251351314</v>
          </cell>
          <cell r="D178" t="str">
            <v>남</v>
          </cell>
          <cell r="E178" t="str">
            <v>19820125</v>
          </cell>
          <cell r="F178" t="str">
            <v>44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Analog파트(2팀)</v>
          </cell>
        </row>
        <row r="179">
          <cell r="A179" t="str">
            <v>20000237</v>
          </cell>
          <cell r="B179" t="str">
            <v>전영준</v>
          </cell>
          <cell r="C179" t="str">
            <v>8908071163919</v>
          </cell>
          <cell r="D179" t="str">
            <v>남</v>
          </cell>
          <cell r="E179" t="str">
            <v>19890807</v>
          </cell>
          <cell r="F179" t="str">
            <v>37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Digital IP파트(2팀)</v>
          </cell>
        </row>
        <row r="180">
          <cell r="A180" t="str">
            <v>20000238</v>
          </cell>
          <cell r="B180" t="str">
            <v>이창배</v>
          </cell>
          <cell r="C180" t="str">
            <v>8908141398421</v>
          </cell>
          <cell r="D180" t="str">
            <v>남</v>
          </cell>
          <cell r="E180" t="str">
            <v>19890814</v>
          </cell>
          <cell r="F180" t="str">
            <v>37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Analog파트(2팀)</v>
          </cell>
        </row>
        <row r="181">
          <cell r="A181" t="str">
            <v>20000239</v>
          </cell>
          <cell r="B181" t="str">
            <v>신순연</v>
          </cell>
          <cell r="C181" t="str">
            <v>8606016760171</v>
          </cell>
          <cell r="D181" t="str">
            <v>여</v>
          </cell>
          <cell r="E181" t="str">
            <v>19860601</v>
          </cell>
          <cell r="F181" t="str">
            <v>40</v>
          </cell>
          <cell r="G181" t="str">
            <v>재직자</v>
          </cell>
          <cell r="H181" t="str">
            <v>중국</v>
          </cell>
          <cell r="I181" t="str">
            <v>심천</v>
          </cell>
          <cell r="J181"/>
          <cell r="K181" t="str">
            <v>기술사무</v>
          </cell>
          <cell r="L181" t="str">
            <v>심천지사</v>
          </cell>
        </row>
        <row r="182">
          <cell r="A182" t="str">
            <v>20000240</v>
          </cell>
          <cell r="B182" t="str">
            <v>김명관</v>
          </cell>
          <cell r="C182" t="str">
            <v>8005171480815</v>
          </cell>
          <cell r="D182" t="str">
            <v>남</v>
          </cell>
          <cell r="E182" t="str">
            <v>19800517</v>
          </cell>
          <cell r="F182" t="str">
            <v>46</v>
          </cell>
          <cell r="G182" t="str">
            <v>재직자</v>
          </cell>
          <cell r="H182" t="str">
            <v>중국</v>
          </cell>
          <cell r="I182" t="str">
            <v>심천</v>
          </cell>
          <cell r="J182"/>
          <cell r="K182" t="str">
            <v>기술사무</v>
          </cell>
          <cell r="L182" t="str">
            <v>심천지사</v>
          </cell>
        </row>
        <row r="183">
          <cell r="A183" t="str">
            <v>20000241</v>
          </cell>
          <cell r="B183" t="str">
            <v>ZhangLiang</v>
          </cell>
          <cell r="C183" t="str">
            <v>9912047111111</v>
          </cell>
          <cell r="D183" t="str">
            <v>남</v>
          </cell>
          <cell r="E183" t="str">
            <v>19991204</v>
          </cell>
          <cell r="F183" t="str">
            <v>27</v>
          </cell>
          <cell r="G183" t="str">
            <v>재직자</v>
          </cell>
          <cell r="H183" t="str">
            <v>중국</v>
          </cell>
          <cell r="I183" t="str">
            <v>심천</v>
          </cell>
          <cell r="J183" t="str">
            <v>현지직원</v>
          </cell>
          <cell r="K183" t="str">
            <v>기술사무</v>
          </cell>
          <cell r="L183" t="str">
            <v>심천지사</v>
          </cell>
        </row>
        <row r="184">
          <cell r="A184" t="str">
            <v>20000242</v>
          </cell>
          <cell r="B184" t="str">
            <v>LinJessie</v>
          </cell>
          <cell r="C184" t="str">
            <v>9301272222222</v>
          </cell>
          <cell r="D184" t="str">
            <v>여</v>
          </cell>
          <cell r="E184" t="str">
            <v>19930127</v>
          </cell>
          <cell r="F184" t="str">
            <v>33</v>
          </cell>
          <cell r="G184" t="str">
            <v>재직자</v>
          </cell>
          <cell r="H184" t="str">
            <v>중국</v>
          </cell>
          <cell r="I184" t="str">
            <v>심천</v>
          </cell>
          <cell r="J184" t="str">
            <v>현지직원</v>
          </cell>
          <cell r="K184" t="str">
            <v>기술사무</v>
          </cell>
          <cell r="L184" t="str">
            <v>심천지사</v>
          </cell>
        </row>
        <row r="185">
          <cell r="A185" t="str">
            <v>20000243</v>
          </cell>
          <cell r="B185" t="str">
            <v>PiaoMeiLing</v>
          </cell>
          <cell r="C185" t="str">
            <v>9105192222222</v>
          </cell>
          <cell r="D185" t="str">
            <v>여</v>
          </cell>
          <cell r="E185" t="str">
            <v>19910519</v>
          </cell>
          <cell r="F185" t="str">
            <v>35</v>
          </cell>
          <cell r="G185" t="str">
            <v>재직자</v>
          </cell>
          <cell r="H185" t="str">
            <v>중국</v>
          </cell>
          <cell r="I185" t="str">
            <v>심천</v>
          </cell>
          <cell r="J185" t="str">
            <v>현지직원</v>
          </cell>
          <cell r="K185" t="str">
            <v>기술사무</v>
          </cell>
          <cell r="L185" t="str">
            <v>심천지사</v>
          </cell>
        </row>
        <row r="186">
          <cell r="A186" t="str">
            <v>20000244</v>
          </cell>
          <cell r="B186" t="str">
            <v>손지윤</v>
          </cell>
          <cell r="C186" t="str">
            <v>9009261860448</v>
          </cell>
          <cell r="D186" t="str">
            <v>남</v>
          </cell>
          <cell r="E186" t="str">
            <v>19900926</v>
          </cell>
          <cell r="F186" t="str">
            <v>36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재무관리팀</v>
          </cell>
        </row>
        <row r="187">
          <cell r="A187" t="str">
            <v>20000246</v>
          </cell>
          <cell r="B187" t="str">
            <v>김창호</v>
          </cell>
          <cell r="C187" t="str">
            <v>8211261403122</v>
          </cell>
          <cell r="D187" t="str">
            <v>남</v>
          </cell>
          <cell r="E187" t="str">
            <v>19821126</v>
          </cell>
          <cell r="F187" t="str">
            <v>44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Logic파트(2팀)</v>
          </cell>
        </row>
        <row r="188">
          <cell r="A188" t="str">
            <v>20000247</v>
          </cell>
          <cell r="B188" t="str">
            <v>민경원</v>
          </cell>
          <cell r="C188" t="str">
            <v>7911281469312</v>
          </cell>
          <cell r="D188" t="str">
            <v>남</v>
          </cell>
          <cell r="E188" t="str">
            <v>19791128</v>
          </cell>
          <cell r="F188" t="str">
            <v>47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Analog파트(2팀)</v>
          </cell>
        </row>
        <row r="189">
          <cell r="A189" t="str">
            <v>20000248</v>
          </cell>
          <cell r="B189" t="str">
            <v>김창민</v>
          </cell>
          <cell r="C189" t="str">
            <v>7503301668811</v>
          </cell>
          <cell r="D189" t="str">
            <v>남</v>
          </cell>
          <cell r="E189" t="str">
            <v>19750330</v>
          </cell>
          <cell r="F189" t="str">
            <v>51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PMIC개발팀</v>
          </cell>
        </row>
        <row r="190">
          <cell r="A190" t="str">
            <v>20000249</v>
          </cell>
          <cell r="B190" t="str">
            <v>윤상준</v>
          </cell>
          <cell r="C190" t="str">
            <v>9404161030313</v>
          </cell>
          <cell r="D190" t="str">
            <v>남</v>
          </cell>
          <cell r="E190" t="str">
            <v>19940416</v>
          </cell>
          <cell r="F190" t="str">
            <v>32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기술사무</v>
          </cell>
          <cell r="L190" t="str">
            <v>ESD팀</v>
          </cell>
        </row>
        <row r="191">
          <cell r="A191" t="str">
            <v>20000251</v>
          </cell>
          <cell r="B191" t="str">
            <v>김관우</v>
          </cell>
          <cell r="C191" t="str">
            <v>9505021043120</v>
          </cell>
          <cell r="D191" t="str">
            <v>남</v>
          </cell>
          <cell r="E191" t="str">
            <v>19950502</v>
          </cell>
          <cell r="F191" t="str">
            <v>31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기술사무</v>
          </cell>
          <cell r="L191" t="str">
            <v>Analog파트(2팀)</v>
          </cell>
        </row>
        <row r="192">
          <cell r="A192" t="str">
            <v>20000252</v>
          </cell>
          <cell r="B192" t="str">
            <v>이원조</v>
          </cell>
          <cell r="C192" t="str">
            <v>9803161275026</v>
          </cell>
          <cell r="D192" t="str">
            <v>남</v>
          </cell>
          <cell r="E192" t="str">
            <v>19980316</v>
          </cell>
          <cell r="F192" t="str">
            <v>28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Analog파트(2팀)</v>
          </cell>
        </row>
        <row r="193">
          <cell r="A193" t="str">
            <v>20000253</v>
          </cell>
          <cell r="B193" t="str">
            <v>LinWeiJian</v>
          </cell>
          <cell r="C193" t="str">
            <v>9912215555555</v>
          </cell>
          <cell r="D193" t="str">
            <v>남</v>
          </cell>
          <cell r="E193" t="str">
            <v>19991221</v>
          </cell>
          <cell r="F193" t="str">
            <v>27</v>
          </cell>
          <cell r="G193" t="str">
            <v>재직자</v>
          </cell>
          <cell r="H193" t="str">
            <v>중국</v>
          </cell>
          <cell r="I193" t="str">
            <v>심천</v>
          </cell>
          <cell r="J193" t="str">
            <v>현지직원</v>
          </cell>
          <cell r="K193" t="str">
            <v>기술사무</v>
          </cell>
          <cell r="L193" t="str">
            <v>심천지사</v>
          </cell>
        </row>
        <row r="194">
          <cell r="A194" t="str">
            <v>20000254</v>
          </cell>
          <cell r="B194" t="str">
            <v>신정우</v>
          </cell>
          <cell r="C194" t="str">
            <v>9010121076716</v>
          </cell>
          <cell r="D194" t="str">
            <v>남</v>
          </cell>
          <cell r="E194" t="str">
            <v>19901012</v>
          </cell>
          <cell r="F194" t="str">
            <v>36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2파트</v>
          </cell>
        </row>
        <row r="195">
          <cell r="A195" t="str">
            <v>20000255</v>
          </cell>
          <cell r="B195" t="str">
            <v>현필수</v>
          </cell>
          <cell r="C195" t="str">
            <v>8006201226212</v>
          </cell>
          <cell r="D195" t="str">
            <v>남</v>
          </cell>
          <cell r="E195" t="str">
            <v>19800620</v>
          </cell>
          <cell r="F195" t="str">
            <v>46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2파트</v>
          </cell>
        </row>
        <row r="196">
          <cell r="A196" t="str">
            <v>20000256</v>
          </cell>
          <cell r="B196" t="str">
            <v>안민영</v>
          </cell>
          <cell r="C196" t="str">
            <v>8009201167628</v>
          </cell>
          <cell r="D196" t="str">
            <v>남</v>
          </cell>
          <cell r="E196" t="str">
            <v>19800920</v>
          </cell>
          <cell r="F196" t="str">
            <v>46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2파트</v>
          </cell>
        </row>
        <row r="197">
          <cell r="A197" t="str">
            <v>20000257</v>
          </cell>
          <cell r="B197" t="str">
            <v>허영건</v>
          </cell>
          <cell r="C197" t="str">
            <v>7504261932213</v>
          </cell>
          <cell r="D197" t="str">
            <v>남</v>
          </cell>
          <cell r="E197" t="str">
            <v>19750426</v>
          </cell>
          <cell r="F197" t="str">
            <v>51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2파트</v>
          </cell>
        </row>
        <row r="198">
          <cell r="A198" t="str">
            <v>20000258</v>
          </cell>
          <cell r="B198" t="str">
            <v>황영승</v>
          </cell>
          <cell r="C198" t="str">
            <v>7501171674015</v>
          </cell>
          <cell r="D198" t="str">
            <v>남</v>
          </cell>
          <cell r="E198" t="str">
            <v>19750117</v>
          </cell>
          <cell r="F198" t="str">
            <v>51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2파트</v>
          </cell>
        </row>
        <row r="199">
          <cell r="A199" t="str">
            <v>20000259</v>
          </cell>
          <cell r="B199" t="str">
            <v>이지용</v>
          </cell>
          <cell r="C199" t="str">
            <v>8703081846011</v>
          </cell>
          <cell r="D199" t="str">
            <v>남</v>
          </cell>
          <cell r="E199" t="str">
            <v>19870308</v>
          </cell>
          <cell r="F199" t="str">
            <v>39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기술사무</v>
          </cell>
          <cell r="L199" t="str">
            <v>Logic파트(2팀)</v>
          </cell>
        </row>
        <row r="200">
          <cell r="A200" t="str">
            <v>20000260</v>
          </cell>
          <cell r="B200" t="str">
            <v>조성훈</v>
          </cell>
          <cell r="C200" t="str">
            <v>8612061037611</v>
          </cell>
          <cell r="D200" t="str">
            <v>남</v>
          </cell>
          <cell r="E200" t="str">
            <v>19861206</v>
          </cell>
          <cell r="F200" t="str">
            <v>40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기술사무</v>
          </cell>
          <cell r="L200" t="str">
            <v>Analog파트(1팀)</v>
          </cell>
        </row>
        <row r="201">
          <cell r="A201" t="str">
            <v>20000261</v>
          </cell>
          <cell r="B201" t="str">
            <v>이영진</v>
          </cell>
          <cell r="C201" t="str">
            <v>7707181822313</v>
          </cell>
          <cell r="D201" t="str">
            <v>남</v>
          </cell>
          <cell r="E201" t="str">
            <v>19770718</v>
          </cell>
          <cell r="F201" t="str">
            <v>49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2파트</v>
          </cell>
        </row>
        <row r="202">
          <cell r="A202" t="str">
            <v>20000262</v>
          </cell>
          <cell r="B202" t="str">
            <v>김도원</v>
          </cell>
          <cell r="C202" t="str">
            <v>9411091268615</v>
          </cell>
          <cell r="D202" t="str">
            <v>남</v>
          </cell>
          <cell r="E202" t="str">
            <v>19941109</v>
          </cell>
          <cell r="F202" t="str">
            <v>32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Analog파트(1팀)</v>
          </cell>
        </row>
        <row r="203">
          <cell r="A203" t="str">
            <v>20000264</v>
          </cell>
          <cell r="B203" t="str">
            <v>황대욱</v>
          </cell>
          <cell r="C203" t="str">
            <v>7602181090114</v>
          </cell>
          <cell r="D203" t="str">
            <v>남</v>
          </cell>
          <cell r="E203" t="str">
            <v>19760218</v>
          </cell>
          <cell r="F203" t="str">
            <v>50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DDI마케팅파트</v>
          </cell>
        </row>
        <row r="204">
          <cell r="A204" t="str">
            <v>20000265</v>
          </cell>
          <cell r="B204" t="str">
            <v>정문규</v>
          </cell>
          <cell r="C204" t="str">
            <v>8503221823315</v>
          </cell>
          <cell r="D204" t="str">
            <v>남</v>
          </cell>
          <cell r="E204" t="str">
            <v>19850322</v>
          </cell>
          <cell r="F204" t="str">
            <v>41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Logic파트(2팀)</v>
          </cell>
        </row>
        <row r="205">
          <cell r="A205" t="str">
            <v>20000266</v>
          </cell>
          <cell r="B205" t="str">
            <v>배명성</v>
          </cell>
          <cell r="C205" t="str">
            <v>7605101919417</v>
          </cell>
          <cell r="D205" t="str">
            <v>남</v>
          </cell>
          <cell r="E205" t="str">
            <v>19760510</v>
          </cell>
          <cell r="F205" t="str">
            <v>50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2파트</v>
          </cell>
        </row>
        <row r="206">
          <cell r="A206" t="str">
            <v>20000267</v>
          </cell>
          <cell r="B206" t="str">
            <v>이용훈</v>
          </cell>
          <cell r="C206" t="str">
            <v>7805171449524</v>
          </cell>
          <cell r="D206" t="str">
            <v>남</v>
          </cell>
          <cell r="E206" t="str">
            <v>19780517</v>
          </cell>
          <cell r="F206" t="str">
            <v>48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2파트</v>
          </cell>
        </row>
        <row r="207">
          <cell r="A207" t="str">
            <v>20000268</v>
          </cell>
          <cell r="B207" t="str">
            <v>안광휘</v>
          </cell>
          <cell r="C207" t="str">
            <v>9205061101411</v>
          </cell>
          <cell r="D207" t="str">
            <v>남</v>
          </cell>
          <cell r="E207" t="str">
            <v>19920506</v>
          </cell>
          <cell r="F207" t="str">
            <v>34</v>
          </cell>
          <cell r="G207" t="str">
            <v>재직자</v>
          </cell>
          <cell r="H207" t="str">
            <v>판교</v>
          </cell>
          <cell r="I207"/>
          <cell r="J207"/>
          <cell r="K207" t="str">
            <v>기술사무</v>
          </cell>
          <cell r="L207" t="str">
            <v>재무관리팀</v>
          </cell>
        </row>
        <row r="208">
          <cell r="A208" t="str">
            <v>20000269</v>
          </cell>
          <cell r="B208" t="str">
            <v>백민호</v>
          </cell>
          <cell r="C208" t="str">
            <v>6803091055813</v>
          </cell>
          <cell r="D208" t="str">
            <v>남</v>
          </cell>
          <cell r="E208" t="str">
            <v>19680309</v>
          </cell>
          <cell r="F208" t="str">
            <v>58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임원</v>
          </cell>
          <cell r="L208" t="str">
            <v>경영지원실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45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SCM담당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47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SCM담당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49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20000005</v>
          </cell>
          <cell r="B5" t="str">
            <v>최정민</v>
          </cell>
          <cell r="C5" t="str">
            <v>7401261337311</v>
          </cell>
          <cell r="D5" t="str">
            <v>남</v>
          </cell>
          <cell r="E5" t="str">
            <v>19740126</v>
          </cell>
          <cell r="F5" t="str">
            <v>53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SCM담당</v>
          </cell>
        </row>
        <row r="6">
          <cell r="A6" t="str">
            <v>20000006</v>
          </cell>
          <cell r="B6" t="str">
            <v>박태용</v>
          </cell>
          <cell r="C6" t="str">
            <v>8012011042717</v>
          </cell>
          <cell r="D6" t="str">
            <v>남</v>
          </cell>
          <cell r="E6" t="str">
            <v>19801201</v>
          </cell>
          <cell r="F6" t="str">
            <v>47</v>
          </cell>
          <cell r="G6" t="str">
            <v>재직자</v>
          </cell>
          <cell r="H6" t="str">
            <v>판교</v>
          </cell>
          <cell r="I6"/>
          <cell r="J6"/>
          <cell r="K6" t="str">
            <v>기술사무</v>
          </cell>
          <cell r="L6" t="str">
            <v>품질팀</v>
          </cell>
        </row>
        <row r="7">
          <cell r="A7" t="str">
            <v>20000007</v>
          </cell>
          <cell r="B7" t="str">
            <v>이도훈</v>
          </cell>
          <cell r="C7" t="str">
            <v>7902221224120</v>
          </cell>
          <cell r="D7" t="str">
            <v>남</v>
          </cell>
          <cell r="E7" t="str">
            <v>19790222</v>
          </cell>
          <cell r="F7" t="str">
            <v>48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Test팀</v>
          </cell>
        </row>
        <row r="8">
          <cell r="A8" t="str">
            <v>20000008</v>
          </cell>
          <cell r="B8" t="str">
            <v>소순만</v>
          </cell>
          <cell r="C8" t="str">
            <v>7506081531218</v>
          </cell>
          <cell r="D8" t="str">
            <v>남</v>
          </cell>
          <cell r="E8" t="str">
            <v>19750108</v>
          </cell>
          <cell r="F8" t="str">
            <v>52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제품기술팀</v>
          </cell>
        </row>
        <row r="9">
          <cell r="A9" t="str">
            <v>20000010</v>
          </cell>
          <cell r="B9" t="str">
            <v>권유석</v>
          </cell>
          <cell r="C9" t="str">
            <v>7507051068711</v>
          </cell>
          <cell r="D9" t="str">
            <v>남</v>
          </cell>
          <cell r="E9" t="str">
            <v>19750705</v>
          </cell>
          <cell r="F9" t="str">
            <v>52</v>
          </cell>
          <cell r="G9" t="str">
            <v>재직자</v>
          </cell>
          <cell r="H9" t="str">
            <v>중국</v>
          </cell>
          <cell r="I9" t="str">
            <v>심천</v>
          </cell>
          <cell r="J9"/>
          <cell r="K9" t="str">
            <v>기술사무</v>
          </cell>
          <cell r="L9" t="str">
            <v>심천지사</v>
          </cell>
        </row>
        <row r="10">
          <cell r="A10" t="str">
            <v>20000013</v>
          </cell>
          <cell r="B10" t="str">
            <v>주양중</v>
          </cell>
          <cell r="C10" t="str">
            <v>7311301332915</v>
          </cell>
          <cell r="D10" t="str">
            <v>남</v>
          </cell>
          <cell r="E10" t="str">
            <v>19731130</v>
          </cell>
          <cell r="F10" t="str">
            <v>54</v>
          </cell>
          <cell r="G10" t="str">
            <v>재직자</v>
          </cell>
          <cell r="H10" t="str">
            <v>판교</v>
          </cell>
          <cell r="I10"/>
          <cell r="J10"/>
          <cell r="K10" t="str">
            <v>기술사무</v>
          </cell>
          <cell r="L10" t="str">
            <v>IT파트</v>
          </cell>
        </row>
        <row r="11">
          <cell r="A11" t="str">
            <v>20000014</v>
          </cell>
          <cell r="B11" t="str">
            <v>허세화</v>
          </cell>
          <cell r="C11" t="str">
            <v>7910272182914</v>
          </cell>
          <cell r="D11" t="str">
            <v>여</v>
          </cell>
          <cell r="E11" t="str">
            <v>19791027</v>
          </cell>
          <cell r="F11" t="str">
            <v>48</v>
          </cell>
          <cell r="G11" t="str">
            <v>재직자</v>
          </cell>
          <cell r="H11" t="str">
            <v>판교</v>
          </cell>
          <cell r="I11"/>
          <cell r="J11"/>
          <cell r="K11" t="str">
            <v>기술사무</v>
          </cell>
          <cell r="L11" t="str">
            <v>외주생산파트</v>
          </cell>
        </row>
        <row r="12">
          <cell r="A12" t="str">
            <v>20000015</v>
          </cell>
          <cell r="B12" t="str">
            <v>성은주</v>
          </cell>
          <cell r="C12" t="str">
            <v>7405222380611</v>
          </cell>
          <cell r="D12" t="str">
            <v>여</v>
          </cell>
          <cell r="E12" t="str">
            <v>19740522</v>
          </cell>
          <cell r="F12" t="str">
            <v>53</v>
          </cell>
          <cell r="G12" t="str">
            <v>재직자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외주생산파트</v>
          </cell>
        </row>
        <row r="13">
          <cell r="A13" t="str">
            <v>20000016</v>
          </cell>
          <cell r="B13" t="str">
            <v>안주희</v>
          </cell>
          <cell r="C13" t="str">
            <v>8004302074414</v>
          </cell>
          <cell r="D13" t="str">
            <v>여</v>
          </cell>
          <cell r="E13" t="str">
            <v>19800430</v>
          </cell>
          <cell r="F13" t="str">
            <v>47</v>
          </cell>
          <cell r="G13" t="str">
            <v>재직자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외주생산파트</v>
          </cell>
        </row>
        <row r="14">
          <cell r="A14" t="str">
            <v>20000017</v>
          </cell>
          <cell r="B14" t="str">
            <v>김현일</v>
          </cell>
          <cell r="C14" t="str">
            <v>7411251079839</v>
          </cell>
          <cell r="D14" t="str">
            <v>남</v>
          </cell>
          <cell r="E14" t="str">
            <v>19741125</v>
          </cell>
          <cell r="F14" t="str">
            <v>53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전략구매파트</v>
          </cell>
        </row>
        <row r="15">
          <cell r="A15" t="str">
            <v>20000018</v>
          </cell>
          <cell r="B15" t="str">
            <v>박유배</v>
          </cell>
          <cell r="C15" t="str">
            <v>6708151457516</v>
          </cell>
          <cell r="D15" t="str">
            <v>남</v>
          </cell>
          <cell r="E15" t="str">
            <v>19670815</v>
          </cell>
          <cell r="F15" t="str">
            <v>60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제품기술팀</v>
          </cell>
        </row>
        <row r="16">
          <cell r="A16" t="str">
            <v>20000019</v>
          </cell>
          <cell r="B16" t="str">
            <v>박정태</v>
          </cell>
          <cell r="C16" t="str">
            <v>7301151094121</v>
          </cell>
          <cell r="D16" t="str">
            <v>남</v>
          </cell>
          <cell r="E16" t="str">
            <v>19730115</v>
          </cell>
          <cell r="F16" t="str">
            <v>54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임원</v>
          </cell>
          <cell r="L16" t="str">
            <v>기술지원담당</v>
          </cell>
        </row>
        <row r="17">
          <cell r="A17" t="str">
            <v>20000020</v>
          </cell>
          <cell r="B17" t="str">
            <v>김산홍</v>
          </cell>
          <cell r="C17" t="str">
            <v>6809191683715</v>
          </cell>
          <cell r="D17" t="str">
            <v>남</v>
          </cell>
          <cell r="E17" t="str">
            <v>19680919</v>
          </cell>
          <cell r="F17" t="str">
            <v>59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기술사무</v>
          </cell>
          <cell r="L17" t="str">
            <v>제품기술팀</v>
          </cell>
        </row>
        <row r="18">
          <cell r="A18" t="str">
            <v>20000021</v>
          </cell>
          <cell r="B18" t="str">
            <v>성재웅</v>
          </cell>
          <cell r="C18" t="str">
            <v>7209261890713</v>
          </cell>
          <cell r="D18" t="str">
            <v>남</v>
          </cell>
          <cell r="E18" t="str">
            <v>19720926</v>
          </cell>
          <cell r="F18" t="str">
            <v>55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품질팀</v>
          </cell>
        </row>
        <row r="19">
          <cell r="A19" t="str">
            <v>20000022</v>
          </cell>
          <cell r="B19" t="str">
            <v>여승진</v>
          </cell>
          <cell r="C19" t="str">
            <v>8211131157025</v>
          </cell>
          <cell r="D19" t="str">
            <v>남</v>
          </cell>
          <cell r="E19" t="str">
            <v>19821113</v>
          </cell>
          <cell r="F19" t="str">
            <v>45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Interface파트</v>
          </cell>
        </row>
        <row r="20">
          <cell r="A20" t="str">
            <v>20000023</v>
          </cell>
          <cell r="B20" t="str">
            <v>박준영</v>
          </cell>
          <cell r="C20" t="str">
            <v>8202241906419</v>
          </cell>
          <cell r="D20" t="str">
            <v>남</v>
          </cell>
          <cell r="E20" t="str">
            <v>19820224</v>
          </cell>
          <cell r="F20" t="str">
            <v>45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기술사무</v>
          </cell>
          <cell r="L20" t="str">
            <v>Test팀</v>
          </cell>
        </row>
        <row r="21">
          <cell r="A21" t="str">
            <v>20000024</v>
          </cell>
          <cell r="B21" t="str">
            <v>김기일</v>
          </cell>
          <cell r="C21" t="str">
            <v>8307081183717</v>
          </cell>
          <cell r="D21" t="str">
            <v>남</v>
          </cell>
          <cell r="E21" t="str">
            <v>19830708</v>
          </cell>
          <cell r="F21" t="str">
            <v>44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Logic파트</v>
          </cell>
        </row>
        <row r="22">
          <cell r="A22" t="str">
            <v>20000025</v>
          </cell>
          <cell r="B22" t="str">
            <v>김희진</v>
          </cell>
          <cell r="C22" t="str">
            <v>7901281120515</v>
          </cell>
          <cell r="D22" t="str">
            <v>남</v>
          </cell>
          <cell r="E22" t="str">
            <v>19790128</v>
          </cell>
          <cell r="F22" t="str">
            <v>48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PKG파트</v>
          </cell>
        </row>
        <row r="23">
          <cell r="A23" t="str">
            <v>20000027</v>
          </cell>
          <cell r="B23" t="str">
            <v>차승현</v>
          </cell>
          <cell r="C23" t="str">
            <v>8607121183017</v>
          </cell>
          <cell r="D23" t="str">
            <v>남</v>
          </cell>
          <cell r="E23" t="str">
            <v>19860712</v>
          </cell>
          <cell r="F23" t="str">
            <v>41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외주생산파트</v>
          </cell>
        </row>
        <row r="24">
          <cell r="A24" t="str">
            <v>20000029</v>
          </cell>
          <cell r="B24" t="str">
            <v>노상훈</v>
          </cell>
          <cell r="C24" t="str">
            <v>7203051093122</v>
          </cell>
          <cell r="D24" t="str">
            <v>남</v>
          </cell>
          <cell r="E24" t="str">
            <v>19720305</v>
          </cell>
          <cell r="F24" t="str">
            <v>55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제품기술팀</v>
          </cell>
        </row>
        <row r="25">
          <cell r="A25" t="str">
            <v>20000030</v>
          </cell>
          <cell r="B25" t="str">
            <v>장승원</v>
          </cell>
          <cell r="C25" t="str">
            <v>7712011654211</v>
          </cell>
          <cell r="D25" t="str">
            <v>남</v>
          </cell>
          <cell r="E25" t="str">
            <v>19771201</v>
          </cell>
          <cell r="F25" t="str">
            <v>50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재무관리팀</v>
          </cell>
        </row>
        <row r="26">
          <cell r="A26" t="str">
            <v>20000032</v>
          </cell>
          <cell r="B26" t="str">
            <v>노정호</v>
          </cell>
          <cell r="C26" t="str">
            <v>8510281011918</v>
          </cell>
          <cell r="D26" t="str">
            <v>남</v>
          </cell>
          <cell r="E26" t="str">
            <v>19851028</v>
          </cell>
          <cell r="F26" t="str">
            <v>42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전략구매파트</v>
          </cell>
        </row>
        <row r="27">
          <cell r="A27" t="str">
            <v>20000033</v>
          </cell>
          <cell r="B27" t="str">
            <v>강완규</v>
          </cell>
          <cell r="C27" t="str">
            <v>7502021025216</v>
          </cell>
          <cell r="D27" t="str">
            <v>남</v>
          </cell>
          <cell r="E27" t="str">
            <v>19741222</v>
          </cell>
          <cell r="F27" t="str">
            <v>53</v>
          </cell>
          <cell r="G27" t="str">
            <v>재직자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품질팀</v>
          </cell>
        </row>
        <row r="28">
          <cell r="A28" t="str">
            <v>20000034</v>
          </cell>
          <cell r="B28" t="str">
            <v>김덕준</v>
          </cell>
          <cell r="C28" t="str">
            <v>7701281814910</v>
          </cell>
          <cell r="D28" t="str">
            <v>남</v>
          </cell>
          <cell r="E28" t="str">
            <v>19770128</v>
          </cell>
          <cell r="F28" t="str">
            <v>50</v>
          </cell>
          <cell r="G28" t="str">
            <v>재직자</v>
          </cell>
          <cell r="H28" t="str">
            <v>상우</v>
          </cell>
          <cell r="I28"/>
          <cell r="J28"/>
          <cell r="K28" t="str">
            <v>기술사무</v>
          </cell>
          <cell r="L28" t="str">
            <v>Test팀</v>
          </cell>
        </row>
        <row r="29">
          <cell r="A29" t="str">
            <v>20000035</v>
          </cell>
          <cell r="B29" t="str">
            <v>이진아</v>
          </cell>
          <cell r="C29" t="str">
            <v>8507192156912</v>
          </cell>
          <cell r="D29" t="str">
            <v>여</v>
          </cell>
          <cell r="E29" t="str">
            <v>19850719</v>
          </cell>
          <cell r="F29" t="str">
            <v>42</v>
          </cell>
          <cell r="G29" t="str">
            <v>재직자</v>
          </cell>
          <cell r="H29" t="str">
            <v>판교</v>
          </cell>
          <cell r="I29"/>
          <cell r="J29"/>
          <cell r="K29" t="str">
            <v>기술사무</v>
          </cell>
          <cell r="L29" t="str">
            <v>Digital IP파트</v>
          </cell>
        </row>
        <row r="30">
          <cell r="A30" t="str">
            <v>20000036</v>
          </cell>
          <cell r="B30" t="str">
            <v>박영건</v>
          </cell>
          <cell r="C30" t="str">
            <v>8604191360513</v>
          </cell>
          <cell r="D30" t="str">
            <v>남</v>
          </cell>
          <cell r="E30" t="str">
            <v>19860419</v>
          </cell>
          <cell r="F30" t="str">
            <v>41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품질팀</v>
          </cell>
        </row>
        <row r="31">
          <cell r="A31" t="str">
            <v>20000038</v>
          </cell>
          <cell r="B31" t="str">
            <v>김민선</v>
          </cell>
          <cell r="C31" t="str">
            <v>8604222085213</v>
          </cell>
          <cell r="D31" t="str">
            <v>여</v>
          </cell>
          <cell r="E31" t="str">
            <v>19860422</v>
          </cell>
          <cell r="F31" t="str">
            <v>41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PKG파트</v>
          </cell>
        </row>
        <row r="32">
          <cell r="A32" t="str">
            <v>20000039</v>
          </cell>
          <cell r="B32" t="str">
            <v>이상훈</v>
          </cell>
          <cell r="C32" t="str">
            <v>8812211023528</v>
          </cell>
          <cell r="D32" t="str">
            <v>남</v>
          </cell>
          <cell r="E32" t="str">
            <v>19881221</v>
          </cell>
          <cell r="F32" t="str">
            <v>39</v>
          </cell>
          <cell r="G32" t="str">
            <v>재직자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Interface파트</v>
          </cell>
        </row>
        <row r="33">
          <cell r="A33" t="str">
            <v>20000040</v>
          </cell>
          <cell r="B33" t="str">
            <v>조영아</v>
          </cell>
          <cell r="C33" t="str">
            <v>7312092802618</v>
          </cell>
          <cell r="D33" t="str">
            <v>여</v>
          </cell>
          <cell r="E33" t="str">
            <v>19731209</v>
          </cell>
          <cell r="F33" t="str">
            <v>54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PMIC마케팅파트</v>
          </cell>
        </row>
        <row r="34">
          <cell r="A34" t="str">
            <v>20000041</v>
          </cell>
          <cell r="B34" t="str">
            <v>이승용</v>
          </cell>
          <cell r="C34" t="str">
            <v>8603311800021</v>
          </cell>
          <cell r="D34" t="str">
            <v>남</v>
          </cell>
          <cell r="E34" t="str">
            <v>19860331</v>
          </cell>
          <cell r="F34" t="str">
            <v>41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제품개발1파트</v>
          </cell>
        </row>
        <row r="35">
          <cell r="A35" t="str">
            <v>20000043</v>
          </cell>
          <cell r="B35" t="str">
            <v>정연호</v>
          </cell>
          <cell r="C35" t="str">
            <v>8603221743211</v>
          </cell>
          <cell r="D35" t="str">
            <v>남</v>
          </cell>
          <cell r="E35" t="str">
            <v>19860322</v>
          </cell>
          <cell r="F35" t="str">
            <v>41</v>
          </cell>
          <cell r="G35" t="str">
            <v>재직자</v>
          </cell>
          <cell r="H35" t="str">
            <v>판교</v>
          </cell>
          <cell r="I35"/>
          <cell r="J35"/>
          <cell r="K35" t="str">
            <v>기술사무</v>
          </cell>
          <cell r="L35" t="str">
            <v>제품개발1파트</v>
          </cell>
        </row>
        <row r="36">
          <cell r="A36" t="str">
            <v>20000044</v>
          </cell>
          <cell r="B36" t="str">
            <v>허예진</v>
          </cell>
          <cell r="C36" t="str">
            <v>8903212151123</v>
          </cell>
          <cell r="D36" t="str">
            <v>여</v>
          </cell>
          <cell r="E36" t="str">
            <v>19890321</v>
          </cell>
          <cell r="F36" t="str">
            <v>38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피플팀</v>
          </cell>
        </row>
        <row r="37">
          <cell r="A37" t="str">
            <v>20000046</v>
          </cell>
          <cell r="B37" t="str">
            <v>박도우</v>
          </cell>
          <cell r="C37" t="str">
            <v>8709271552333</v>
          </cell>
          <cell r="D37" t="str">
            <v>남</v>
          </cell>
          <cell r="E37" t="str">
            <v>19870927</v>
          </cell>
          <cell r="F37" t="str">
            <v>40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Interface파트</v>
          </cell>
        </row>
        <row r="38">
          <cell r="A38" t="str">
            <v>20000047</v>
          </cell>
          <cell r="B38" t="str">
            <v>손선규</v>
          </cell>
          <cell r="C38" t="str">
            <v>7301231042325</v>
          </cell>
          <cell r="D38" t="str">
            <v>남</v>
          </cell>
          <cell r="E38" t="str">
            <v>19730123</v>
          </cell>
          <cell r="F38" t="str">
            <v>54</v>
          </cell>
          <cell r="G38" t="str">
            <v>재직자</v>
          </cell>
          <cell r="H38" t="str">
            <v>판교</v>
          </cell>
          <cell r="I38"/>
          <cell r="J38"/>
          <cell r="K38" t="str">
            <v>기술사무</v>
          </cell>
          <cell r="L38" t="str">
            <v>제품기술팀</v>
          </cell>
        </row>
        <row r="39">
          <cell r="A39" t="str">
            <v>20000048</v>
          </cell>
          <cell r="B39" t="str">
            <v>유상민</v>
          </cell>
          <cell r="C39" t="str">
            <v>7907141932537</v>
          </cell>
          <cell r="D39" t="str">
            <v>남</v>
          </cell>
          <cell r="E39" t="str">
            <v>19790714</v>
          </cell>
          <cell r="F39" t="str">
            <v>48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제품기술팀</v>
          </cell>
        </row>
        <row r="40">
          <cell r="A40" t="str">
            <v>20000049</v>
          </cell>
          <cell r="B40" t="str">
            <v>이선희</v>
          </cell>
          <cell r="C40" t="str">
            <v>8608042162724</v>
          </cell>
          <cell r="D40" t="str">
            <v>여</v>
          </cell>
          <cell r="E40" t="str">
            <v>19860804</v>
          </cell>
          <cell r="F40" t="str">
            <v>41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SCM담당</v>
          </cell>
        </row>
        <row r="41">
          <cell r="A41" t="str">
            <v>20000050</v>
          </cell>
          <cell r="B41" t="str">
            <v>김도연</v>
          </cell>
          <cell r="C41" t="str">
            <v>8712121064130</v>
          </cell>
          <cell r="D41" t="str">
            <v>남</v>
          </cell>
          <cell r="E41" t="str">
            <v>19871212</v>
          </cell>
          <cell r="F41" t="str">
            <v>40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Interface파트</v>
          </cell>
        </row>
        <row r="42">
          <cell r="A42" t="str">
            <v>20000051</v>
          </cell>
          <cell r="B42" t="str">
            <v>이정수</v>
          </cell>
          <cell r="C42" t="str">
            <v>9306041042248</v>
          </cell>
          <cell r="D42" t="str">
            <v>남</v>
          </cell>
          <cell r="E42" t="str">
            <v>19930604</v>
          </cell>
          <cell r="F42" t="str">
            <v>34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Layout팀</v>
          </cell>
        </row>
        <row r="43">
          <cell r="A43" t="str">
            <v>20000053</v>
          </cell>
          <cell r="B43" t="str">
            <v>고재홍</v>
          </cell>
          <cell r="C43" t="str">
            <v>7603021221117</v>
          </cell>
          <cell r="D43" t="str">
            <v>남</v>
          </cell>
          <cell r="E43" t="str">
            <v>19760302</v>
          </cell>
          <cell r="F43" t="str">
            <v>51</v>
          </cell>
          <cell r="G43" t="str">
            <v>재직자</v>
          </cell>
          <cell r="H43" t="str">
            <v>판교</v>
          </cell>
          <cell r="I43"/>
          <cell r="J43"/>
          <cell r="K43" t="str">
            <v>임원</v>
          </cell>
          <cell r="L43" t="str">
            <v>DDI개발담당</v>
          </cell>
        </row>
        <row r="44">
          <cell r="A44" t="str">
            <v>20000054</v>
          </cell>
          <cell r="B44" t="str">
            <v>조용탁</v>
          </cell>
          <cell r="C44" t="str">
            <v>9212161182910</v>
          </cell>
          <cell r="D44" t="str">
            <v>남</v>
          </cell>
          <cell r="E44" t="str">
            <v>19921216</v>
          </cell>
          <cell r="F44" t="str">
            <v>35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기술사무</v>
          </cell>
          <cell r="L44" t="str">
            <v>전략구매파트</v>
          </cell>
        </row>
        <row r="45">
          <cell r="A45" t="str">
            <v>20000055</v>
          </cell>
          <cell r="B45" t="str">
            <v>조주현</v>
          </cell>
          <cell r="C45" t="str">
            <v>7708031042921</v>
          </cell>
          <cell r="D45" t="str">
            <v>남</v>
          </cell>
          <cell r="E45" t="str">
            <v>19770803</v>
          </cell>
          <cell r="F45" t="str">
            <v>50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제품기술팀</v>
          </cell>
        </row>
        <row r="46">
          <cell r="A46" t="str">
            <v>20000056</v>
          </cell>
          <cell r="B46" t="str">
            <v>박상현</v>
          </cell>
          <cell r="C46" t="str">
            <v>7909111055817</v>
          </cell>
          <cell r="D46" t="str">
            <v>남</v>
          </cell>
          <cell r="E46" t="str">
            <v>19790911</v>
          </cell>
          <cell r="F46" t="str">
            <v>48</v>
          </cell>
          <cell r="G46" t="str">
            <v>재직자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제품개발2파트</v>
          </cell>
        </row>
        <row r="47">
          <cell r="A47" t="str">
            <v>20000057</v>
          </cell>
          <cell r="B47" t="str">
            <v>김성욱</v>
          </cell>
          <cell r="C47" t="str">
            <v>7310171241819</v>
          </cell>
          <cell r="D47" t="str">
            <v>남</v>
          </cell>
          <cell r="E47" t="str">
            <v>19731017</v>
          </cell>
          <cell r="F47" t="str">
            <v>54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제품기술팀</v>
          </cell>
        </row>
        <row r="48">
          <cell r="A48" t="str">
            <v>20000059</v>
          </cell>
          <cell r="B48" t="str">
            <v>이동기</v>
          </cell>
          <cell r="C48" t="str">
            <v>8803131685615</v>
          </cell>
          <cell r="D48" t="str">
            <v>남</v>
          </cell>
          <cell r="E48" t="str">
            <v>19880313</v>
          </cell>
          <cell r="F48" t="str">
            <v>39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1파트</v>
          </cell>
        </row>
        <row r="49">
          <cell r="A49" t="str">
            <v>20000060</v>
          </cell>
          <cell r="B49" t="str">
            <v>권재학</v>
          </cell>
          <cell r="C49" t="str">
            <v>8202031001616</v>
          </cell>
          <cell r="D49" t="str">
            <v>남</v>
          </cell>
          <cell r="E49" t="str">
            <v>19820203</v>
          </cell>
          <cell r="F49" t="str">
            <v>45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품질팀</v>
          </cell>
        </row>
        <row r="50">
          <cell r="A50" t="str">
            <v>20000062</v>
          </cell>
          <cell r="B50" t="str">
            <v>이종래</v>
          </cell>
          <cell r="C50" t="str">
            <v>8010131822214</v>
          </cell>
          <cell r="D50" t="str">
            <v>남</v>
          </cell>
          <cell r="E50" t="str">
            <v>19801013</v>
          </cell>
          <cell r="F50" t="str">
            <v>47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PKG파트</v>
          </cell>
        </row>
        <row r="51">
          <cell r="A51" t="str">
            <v>20000063</v>
          </cell>
          <cell r="B51" t="str">
            <v>박성현</v>
          </cell>
          <cell r="C51" t="str">
            <v>9202101274215</v>
          </cell>
          <cell r="D51" t="str">
            <v>남</v>
          </cell>
          <cell r="E51" t="str">
            <v>19920210</v>
          </cell>
          <cell r="F51" t="str">
            <v>35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제품기술팀</v>
          </cell>
        </row>
        <row r="52">
          <cell r="A52" t="str">
            <v>20000064</v>
          </cell>
          <cell r="B52" t="str">
            <v>송시연</v>
          </cell>
          <cell r="C52" t="str">
            <v>9710281185610</v>
          </cell>
          <cell r="D52" t="str">
            <v>남</v>
          </cell>
          <cell r="E52" t="str">
            <v>19971028</v>
          </cell>
          <cell r="F52" t="str">
            <v>30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Layout팀</v>
          </cell>
        </row>
        <row r="53">
          <cell r="A53" t="str">
            <v>20000067</v>
          </cell>
          <cell r="B53" t="str">
            <v>최수임</v>
          </cell>
          <cell r="C53" t="str">
            <v>8405312274512</v>
          </cell>
          <cell r="D53" t="str">
            <v>여</v>
          </cell>
          <cell r="E53" t="str">
            <v>19840531</v>
          </cell>
          <cell r="F53" t="str">
            <v>43</v>
          </cell>
          <cell r="G53" t="str">
            <v>재직자</v>
          </cell>
          <cell r="H53" t="str">
            <v>판교</v>
          </cell>
          <cell r="I53"/>
          <cell r="J53"/>
          <cell r="K53" t="str">
            <v>기술사무</v>
          </cell>
          <cell r="L53" t="str">
            <v>영업팀</v>
          </cell>
        </row>
        <row r="54">
          <cell r="A54" t="str">
            <v>20000068</v>
          </cell>
          <cell r="B54" t="str">
            <v>반기환</v>
          </cell>
          <cell r="C54" t="str">
            <v>8702011685829</v>
          </cell>
          <cell r="D54" t="str">
            <v>남</v>
          </cell>
          <cell r="E54" t="str">
            <v>19870201</v>
          </cell>
          <cell r="F54" t="str">
            <v>40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기술사무</v>
          </cell>
          <cell r="L54" t="str">
            <v>Test팀</v>
          </cell>
        </row>
        <row r="55">
          <cell r="A55" t="str">
            <v>20000069</v>
          </cell>
          <cell r="B55" t="str">
            <v>박용준</v>
          </cell>
          <cell r="C55" t="str">
            <v>8705161350613</v>
          </cell>
          <cell r="D55" t="str">
            <v>남</v>
          </cell>
          <cell r="E55" t="str">
            <v>19870516</v>
          </cell>
          <cell r="F55" t="str">
            <v>40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품질팀</v>
          </cell>
        </row>
        <row r="56">
          <cell r="A56" t="str">
            <v>20000071</v>
          </cell>
          <cell r="B56" t="str">
            <v>오택준</v>
          </cell>
          <cell r="C56" t="str">
            <v>8610181261114</v>
          </cell>
          <cell r="D56" t="str">
            <v>남</v>
          </cell>
          <cell r="E56" t="str">
            <v>19861018</v>
          </cell>
          <cell r="F56" t="str">
            <v>41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Interface파트</v>
          </cell>
        </row>
        <row r="57">
          <cell r="A57" t="str">
            <v>20000072</v>
          </cell>
          <cell r="B57" t="str">
            <v>황영주</v>
          </cell>
          <cell r="C57" t="str">
            <v>8912201183816</v>
          </cell>
          <cell r="D57" t="str">
            <v>남</v>
          </cell>
          <cell r="E57" t="str">
            <v>19891220</v>
          </cell>
          <cell r="F57" t="str">
            <v>38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Interface파트</v>
          </cell>
        </row>
        <row r="58">
          <cell r="A58" t="str">
            <v>20000073</v>
          </cell>
          <cell r="B58" t="str">
            <v>이관주</v>
          </cell>
          <cell r="C58" t="str">
            <v>8607151070518</v>
          </cell>
          <cell r="D58" t="str">
            <v>남</v>
          </cell>
          <cell r="E58" t="str">
            <v>19860715</v>
          </cell>
          <cell r="F58" t="str">
            <v>41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제품개발1파트</v>
          </cell>
        </row>
        <row r="59">
          <cell r="A59" t="str">
            <v>20000074</v>
          </cell>
          <cell r="B59" t="str">
            <v>서정일</v>
          </cell>
          <cell r="C59" t="str">
            <v>7902231226128</v>
          </cell>
          <cell r="D59" t="str">
            <v>남</v>
          </cell>
          <cell r="E59" t="str">
            <v>19790321</v>
          </cell>
          <cell r="F59" t="str">
            <v>48</v>
          </cell>
          <cell r="G59" t="str">
            <v>재직자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제품개발1파트</v>
          </cell>
        </row>
        <row r="60">
          <cell r="A60" t="str">
            <v>20000076</v>
          </cell>
          <cell r="B60" t="str">
            <v>유명석</v>
          </cell>
          <cell r="C60" t="str">
            <v>9212071125911</v>
          </cell>
          <cell r="D60" t="str">
            <v>남</v>
          </cell>
          <cell r="E60" t="str">
            <v>19921207</v>
          </cell>
          <cell r="F60" t="str">
            <v>35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Logic파트</v>
          </cell>
        </row>
        <row r="61">
          <cell r="A61" t="str">
            <v>20000078</v>
          </cell>
          <cell r="B61" t="str">
            <v>설현수</v>
          </cell>
          <cell r="C61" t="str">
            <v>8306141500316</v>
          </cell>
          <cell r="D61" t="str">
            <v>남</v>
          </cell>
          <cell r="E61" t="str">
            <v>19830614</v>
          </cell>
          <cell r="F61" t="str">
            <v>44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Layout팀</v>
          </cell>
        </row>
        <row r="62">
          <cell r="A62" t="str">
            <v>20000079</v>
          </cell>
          <cell r="B62" t="str">
            <v>마평식</v>
          </cell>
          <cell r="C62" t="str">
            <v>8203061797911</v>
          </cell>
          <cell r="D62" t="str">
            <v>남</v>
          </cell>
          <cell r="E62" t="str">
            <v>19820306</v>
          </cell>
          <cell r="F62" t="str">
            <v>45</v>
          </cell>
          <cell r="G62" t="str">
            <v>재직자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Analog1파트</v>
          </cell>
        </row>
        <row r="63">
          <cell r="A63" t="str">
            <v>20000081</v>
          </cell>
          <cell r="B63" t="str">
            <v>박천위</v>
          </cell>
          <cell r="C63" t="str">
            <v>8308131066018</v>
          </cell>
          <cell r="D63" t="str">
            <v>남</v>
          </cell>
          <cell r="E63" t="str">
            <v>19830813</v>
          </cell>
          <cell r="F63" t="str">
            <v>44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Analog1파트</v>
          </cell>
        </row>
        <row r="64">
          <cell r="A64" t="str">
            <v>20000082</v>
          </cell>
          <cell r="B64" t="str">
            <v>윤추실</v>
          </cell>
          <cell r="C64" t="str">
            <v>9611136460015</v>
          </cell>
          <cell r="D64" t="str">
            <v>여</v>
          </cell>
          <cell r="E64" t="str">
            <v>19961113</v>
          </cell>
          <cell r="F64" t="str">
            <v>31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제품기술팀</v>
          </cell>
        </row>
        <row r="65">
          <cell r="A65" t="str">
            <v>20000083</v>
          </cell>
          <cell r="B65" t="str">
            <v>이명호</v>
          </cell>
          <cell r="C65" t="str">
            <v>9311031300514</v>
          </cell>
          <cell r="D65" t="str">
            <v>남</v>
          </cell>
          <cell r="E65" t="str">
            <v>19931103</v>
          </cell>
          <cell r="F65" t="str">
            <v>34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Interface파트</v>
          </cell>
        </row>
        <row r="66">
          <cell r="A66" t="str">
            <v>20000084</v>
          </cell>
          <cell r="B66" t="str">
            <v>박준영</v>
          </cell>
          <cell r="C66" t="str">
            <v>9308011037316</v>
          </cell>
          <cell r="D66" t="str">
            <v>남</v>
          </cell>
          <cell r="E66" t="str">
            <v>19930801</v>
          </cell>
          <cell r="F66" t="str">
            <v>34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제품개발1파트</v>
          </cell>
        </row>
        <row r="67">
          <cell r="A67" t="str">
            <v>20000085</v>
          </cell>
          <cell r="B67" t="str">
            <v>정기선</v>
          </cell>
          <cell r="C67" t="str">
            <v>8309301168023</v>
          </cell>
          <cell r="D67" t="str">
            <v>남</v>
          </cell>
          <cell r="E67" t="str">
            <v>19830930</v>
          </cell>
          <cell r="F67" t="str">
            <v>44</v>
          </cell>
          <cell r="G67" t="str">
            <v>재직자</v>
          </cell>
          <cell r="H67" t="str">
            <v>판교</v>
          </cell>
          <cell r="I67"/>
          <cell r="J67"/>
          <cell r="K67" t="str">
            <v>기술사무</v>
          </cell>
          <cell r="L67" t="str">
            <v>제품개발2파트</v>
          </cell>
        </row>
        <row r="68">
          <cell r="A68" t="str">
            <v>20000086</v>
          </cell>
          <cell r="B68" t="str">
            <v>이표현</v>
          </cell>
          <cell r="C68" t="str">
            <v>9811271205428</v>
          </cell>
          <cell r="D68" t="str">
            <v>남</v>
          </cell>
          <cell r="E68" t="str">
            <v>19981127</v>
          </cell>
          <cell r="F68" t="str">
            <v>29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Layout팀</v>
          </cell>
        </row>
        <row r="69">
          <cell r="A69" t="str">
            <v>20000087</v>
          </cell>
          <cell r="B69" t="str">
            <v>이유진</v>
          </cell>
          <cell r="C69" t="str">
            <v>9312252162129</v>
          </cell>
          <cell r="D69" t="str">
            <v>여</v>
          </cell>
          <cell r="E69" t="str">
            <v>19931225</v>
          </cell>
          <cell r="F69" t="str">
            <v>34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Layout팀</v>
          </cell>
        </row>
        <row r="70">
          <cell r="A70" t="str">
            <v>20000088</v>
          </cell>
          <cell r="B70" t="str">
            <v>김경환</v>
          </cell>
          <cell r="C70" t="str">
            <v>8610141041312</v>
          </cell>
          <cell r="D70" t="str">
            <v>남</v>
          </cell>
          <cell r="E70" t="str">
            <v>19861014</v>
          </cell>
          <cell r="F70" t="str">
            <v>41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1파트</v>
          </cell>
        </row>
        <row r="71">
          <cell r="A71" t="str">
            <v>20000090</v>
          </cell>
          <cell r="B71" t="str">
            <v>김영민</v>
          </cell>
          <cell r="C71" t="str">
            <v>9302071850518</v>
          </cell>
          <cell r="D71" t="str">
            <v>남</v>
          </cell>
          <cell r="E71" t="str">
            <v>19930207</v>
          </cell>
          <cell r="F71" t="str">
            <v>34</v>
          </cell>
          <cell r="G71" t="str">
            <v>재직자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Digital IP파트</v>
          </cell>
        </row>
        <row r="72">
          <cell r="A72" t="str">
            <v>20000091</v>
          </cell>
          <cell r="B72" t="str">
            <v>임재호</v>
          </cell>
          <cell r="C72" t="str">
            <v>8805221555215</v>
          </cell>
          <cell r="D72" t="str">
            <v>남</v>
          </cell>
          <cell r="E72" t="str">
            <v>19880522</v>
          </cell>
          <cell r="F72" t="str">
            <v>39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Logic파트</v>
          </cell>
        </row>
        <row r="73">
          <cell r="A73" t="str">
            <v>20000092</v>
          </cell>
          <cell r="B73" t="str">
            <v>정찬경</v>
          </cell>
          <cell r="C73" t="str">
            <v>9201091029711</v>
          </cell>
          <cell r="D73" t="str">
            <v>남</v>
          </cell>
          <cell r="E73" t="str">
            <v>19920109</v>
          </cell>
          <cell r="F73" t="str">
            <v>35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Analog1파트</v>
          </cell>
        </row>
        <row r="74">
          <cell r="A74" t="str">
            <v>20000093</v>
          </cell>
          <cell r="B74" t="str">
            <v>가학진</v>
          </cell>
          <cell r="C74" t="str">
            <v>9208291155311</v>
          </cell>
          <cell r="D74" t="str">
            <v>남</v>
          </cell>
          <cell r="E74" t="str">
            <v>19920829</v>
          </cell>
          <cell r="F74" t="str">
            <v>35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Analog2파트</v>
          </cell>
        </row>
        <row r="75">
          <cell r="A75" t="str">
            <v>20000095</v>
          </cell>
          <cell r="B75" t="str">
            <v>이승화</v>
          </cell>
          <cell r="C75" t="str">
            <v>9607301236511</v>
          </cell>
          <cell r="D75" t="str">
            <v>남</v>
          </cell>
          <cell r="E75" t="str">
            <v>19960730</v>
          </cell>
          <cell r="F75" t="str">
            <v>31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품질팀</v>
          </cell>
        </row>
        <row r="76">
          <cell r="A76" t="str">
            <v>20000096</v>
          </cell>
          <cell r="B76" t="str">
            <v>변지수</v>
          </cell>
          <cell r="C76" t="str">
            <v>9607082078214</v>
          </cell>
          <cell r="D76" t="str">
            <v>여</v>
          </cell>
          <cell r="E76" t="str">
            <v>19960708</v>
          </cell>
          <cell r="F76" t="str">
            <v>31</v>
          </cell>
          <cell r="G76" t="str">
            <v>재직자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SCM담당</v>
          </cell>
        </row>
        <row r="77">
          <cell r="A77" t="str">
            <v>20000097</v>
          </cell>
          <cell r="B77" t="str">
            <v>백인철</v>
          </cell>
          <cell r="C77" t="str">
            <v>8907311496639</v>
          </cell>
          <cell r="D77" t="str">
            <v>남</v>
          </cell>
          <cell r="E77" t="str">
            <v>19890731</v>
          </cell>
          <cell r="F77" t="str">
            <v>38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제품기술팀</v>
          </cell>
        </row>
        <row r="78">
          <cell r="A78" t="str">
            <v>20000098</v>
          </cell>
          <cell r="B78" t="str">
            <v>장진웅</v>
          </cell>
          <cell r="C78" t="str">
            <v>9511171024427</v>
          </cell>
          <cell r="D78" t="str">
            <v>남</v>
          </cell>
          <cell r="E78" t="str">
            <v>19951117</v>
          </cell>
          <cell r="F78" t="str">
            <v>32</v>
          </cell>
          <cell r="G78" t="str">
            <v>재직자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Interface파트</v>
          </cell>
        </row>
        <row r="79">
          <cell r="A79" t="str">
            <v>20000099</v>
          </cell>
          <cell r="B79" t="str">
            <v>최성민</v>
          </cell>
          <cell r="C79" t="str">
            <v>9501291103415</v>
          </cell>
          <cell r="D79" t="str">
            <v>남</v>
          </cell>
          <cell r="E79" t="str">
            <v>19950129</v>
          </cell>
          <cell r="F79" t="str">
            <v>32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Logic파트</v>
          </cell>
        </row>
        <row r="80">
          <cell r="A80" t="str">
            <v>20000100</v>
          </cell>
          <cell r="B80" t="str">
            <v>유제열</v>
          </cell>
          <cell r="C80" t="str">
            <v>8707091205112</v>
          </cell>
          <cell r="D80" t="str">
            <v>남</v>
          </cell>
          <cell r="E80" t="str">
            <v>19870709</v>
          </cell>
          <cell r="F80" t="str">
            <v>40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PKG파트</v>
          </cell>
        </row>
        <row r="81">
          <cell r="A81" t="str">
            <v>20000102</v>
          </cell>
          <cell r="B81" t="str">
            <v>이정호</v>
          </cell>
          <cell r="C81" t="str">
            <v>9205161080913</v>
          </cell>
          <cell r="D81" t="str">
            <v>남</v>
          </cell>
          <cell r="E81" t="str">
            <v>19920516</v>
          </cell>
          <cell r="F81" t="str">
            <v>35</v>
          </cell>
          <cell r="G81" t="str">
            <v>재직자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제품개발1파트</v>
          </cell>
        </row>
        <row r="82">
          <cell r="A82" t="str">
            <v>20000103</v>
          </cell>
          <cell r="B82" t="str">
            <v>정겨운</v>
          </cell>
          <cell r="C82" t="str">
            <v>9207201035613</v>
          </cell>
          <cell r="D82" t="str">
            <v>남</v>
          </cell>
          <cell r="E82" t="str">
            <v>19920720</v>
          </cell>
          <cell r="F82" t="str">
            <v>35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영업팀</v>
          </cell>
        </row>
        <row r="83">
          <cell r="A83" t="str">
            <v>20000104</v>
          </cell>
          <cell r="B83" t="str">
            <v>임나영</v>
          </cell>
          <cell r="C83" t="str">
            <v>9709192085425</v>
          </cell>
          <cell r="D83" t="str">
            <v>여</v>
          </cell>
          <cell r="E83" t="str">
            <v>19970919</v>
          </cell>
          <cell r="F83" t="str">
            <v>30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피플팀</v>
          </cell>
        </row>
        <row r="84">
          <cell r="A84" t="str">
            <v>20000109</v>
          </cell>
          <cell r="B84" t="str">
            <v>신현진</v>
          </cell>
          <cell r="C84" t="str">
            <v>7410011810429</v>
          </cell>
          <cell r="D84" t="str">
            <v>남</v>
          </cell>
          <cell r="E84" t="str">
            <v>19741001</v>
          </cell>
          <cell r="F84" t="str">
            <v>53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Layout팀</v>
          </cell>
        </row>
        <row r="85">
          <cell r="A85" t="str">
            <v>20000111</v>
          </cell>
          <cell r="B85" t="str">
            <v>김희준</v>
          </cell>
          <cell r="C85" t="str">
            <v>9307231188728</v>
          </cell>
          <cell r="D85" t="str">
            <v>남</v>
          </cell>
          <cell r="E85" t="str">
            <v>19930723</v>
          </cell>
          <cell r="F85" t="str">
            <v>34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Analog1파트</v>
          </cell>
        </row>
        <row r="86">
          <cell r="A86" t="str">
            <v>20000112</v>
          </cell>
          <cell r="B86" t="str">
            <v>이장현</v>
          </cell>
          <cell r="C86" t="str">
            <v>9402271588116</v>
          </cell>
          <cell r="D86" t="str">
            <v>남</v>
          </cell>
          <cell r="E86" t="str">
            <v>19940227</v>
          </cell>
          <cell r="F86" t="str">
            <v>33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기술사무</v>
          </cell>
          <cell r="L86" t="str">
            <v>전략구매파트</v>
          </cell>
        </row>
        <row r="87">
          <cell r="A87" t="str">
            <v>20000114</v>
          </cell>
          <cell r="B87" t="str">
            <v>양우선</v>
          </cell>
          <cell r="C87" t="str">
            <v>9107022065911</v>
          </cell>
          <cell r="D87" t="str">
            <v>여</v>
          </cell>
          <cell r="E87" t="str">
            <v>19910702</v>
          </cell>
          <cell r="F87" t="str">
            <v>36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Logic파트</v>
          </cell>
        </row>
        <row r="88">
          <cell r="A88" t="str">
            <v>20000116</v>
          </cell>
          <cell r="B88" t="str">
            <v>경명근</v>
          </cell>
          <cell r="C88" t="str">
            <v>9901141155118</v>
          </cell>
          <cell r="D88" t="str">
            <v>남</v>
          </cell>
          <cell r="E88" t="str">
            <v>19990114</v>
          </cell>
          <cell r="F88" t="str">
            <v>28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20000117</v>
          </cell>
          <cell r="B89" t="str">
            <v>김수민</v>
          </cell>
          <cell r="C89" t="str">
            <v>9110232079417</v>
          </cell>
          <cell r="D89" t="str">
            <v>여</v>
          </cell>
          <cell r="E89" t="str">
            <v>19911023</v>
          </cell>
          <cell r="F89" t="str">
            <v>36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재무관리팀</v>
          </cell>
        </row>
        <row r="90">
          <cell r="A90" t="str">
            <v>20000118</v>
          </cell>
          <cell r="B90" t="str">
            <v>권성재</v>
          </cell>
          <cell r="C90" t="str">
            <v>8211141231015</v>
          </cell>
          <cell r="D90" t="str">
            <v>남</v>
          </cell>
          <cell r="E90" t="str">
            <v>19821114</v>
          </cell>
          <cell r="F90" t="str">
            <v>45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재무관리팀</v>
          </cell>
        </row>
        <row r="91">
          <cell r="A91" t="str">
            <v>20000121</v>
          </cell>
          <cell r="B91" t="str">
            <v>왕단</v>
          </cell>
          <cell r="C91" t="str">
            <v>8406306780290</v>
          </cell>
          <cell r="D91" t="str">
            <v>여</v>
          </cell>
          <cell r="E91" t="str">
            <v>19840630</v>
          </cell>
          <cell r="F91" t="str">
            <v>43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품질팀</v>
          </cell>
        </row>
        <row r="92">
          <cell r="A92" t="str">
            <v>20000123</v>
          </cell>
          <cell r="B92" t="str">
            <v>최민</v>
          </cell>
          <cell r="C92" t="str">
            <v>0002144080722</v>
          </cell>
          <cell r="D92" t="str">
            <v>여</v>
          </cell>
          <cell r="E92" t="str">
            <v>20000214</v>
          </cell>
          <cell r="F92" t="str">
            <v>27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Layout팀</v>
          </cell>
        </row>
        <row r="93">
          <cell r="A93" t="str">
            <v>20000124</v>
          </cell>
          <cell r="B93" t="str">
            <v>윤신</v>
          </cell>
          <cell r="C93" t="str">
            <v>8403061823313</v>
          </cell>
          <cell r="D93" t="str">
            <v>남</v>
          </cell>
          <cell r="E93" t="str">
            <v>19840306</v>
          </cell>
          <cell r="F93" t="str">
            <v>43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Logic파트</v>
          </cell>
        </row>
        <row r="94">
          <cell r="A94" t="str">
            <v>20000125</v>
          </cell>
          <cell r="B94" t="str">
            <v>김도현</v>
          </cell>
          <cell r="C94" t="str">
            <v>8911061254337</v>
          </cell>
          <cell r="D94" t="str">
            <v>남</v>
          </cell>
          <cell r="E94" t="str">
            <v>19891106</v>
          </cell>
          <cell r="F94" t="str">
            <v>38</v>
          </cell>
          <cell r="G94" t="str">
            <v>재직자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Layout팀</v>
          </cell>
        </row>
        <row r="95">
          <cell r="A95" t="str">
            <v>20000126</v>
          </cell>
          <cell r="B95" t="str">
            <v>정중연</v>
          </cell>
          <cell r="C95" t="str">
            <v>9606231198119</v>
          </cell>
          <cell r="D95" t="str">
            <v>남</v>
          </cell>
          <cell r="E95" t="str">
            <v>19960623</v>
          </cell>
          <cell r="F95" t="str">
            <v>31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기술사무</v>
          </cell>
          <cell r="L95" t="str">
            <v>Test팀</v>
          </cell>
        </row>
        <row r="96">
          <cell r="A96" t="str">
            <v>20000129</v>
          </cell>
          <cell r="B96" t="str">
            <v>조민준</v>
          </cell>
          <cell r="C96" t="str">
            <v>9611271726816</v>
          </cell>
          <cell r="D96" t="str">
            <v>남</v>
          </cell>
          <cell r="E96" t="str">
            <v>19961127</v>
          </cell>
          <cell r="F96" t="str">
            <v>31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Interface파트</v>
          </cell>
        </row>
        <row r="97">
          <cell r="A97" t="str">
            <v>20000130</v>
          </cell>
          <cell r="B97" t="str">
            <v>이승민</v>
          </cell>
          <cell r="C97" t="str">
            <v>9002081822211</v>
          </cell>
          <cell r="D97" t="str">
            <v>남</v>
          </cell>
          <cell r="E97" t="str">
            <v>19900208</v>
          </cell>
          <cell r="F97" t="str">
            <v>37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Digital IP파트</v>
          </cell>
        </row>
        <row r="98">
          <cell r="A98" t="str">
            <v>20000134</v>
          </cell>
          <cell r="B98" t="str">
            <v>이상태</v>
          </cell>
          <cell r="C98" t="str">
            <v>7609011075219</v>
          </cell>
          <cell r="D98" t="str">
            <v>남</v>
          </cell>
          <cell r="E98" t="str">
            <v>19760901</v>
          </cell>
          <cell r="F98" t="str">
            <v>51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영업팀</v>
          </cell>
        </row>
        <row r="99">
          <cell r="A99" t="str">
            <v>20000137</v>
          </cell>
          <cell r="B99" t="str">
            <v>천승우</v>
          </cell>
          <cell r="C99" t="str">
            <v>8812231125628</v>
          </cell>
          <cell r="D99" t="str">
            <v>남</v>
          </cell>
          <cell r="E99" t="str">
            <v>19881223</v>
          </cell>
          <cell r="F99" t="str">
            <v>39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Layout팀</v>
          </cell>
        </row>
        <row r="100">
          <cell r="A100" t="str">
            <v>20000139</v>
          </cell>
          <cell r="B100" t="str">
            <v>변아름</v>
          </cell>
          <cell r="C100" t="str">
            <v>9301172323518</v>
          </cell>
          <cell r="D100" t="str">
            <v>여</v>
          </cell>
          <cell r="E100" t="str">
            <v>19930117</v>
          </cell>
          <cell r="F100" t="str">
            <v>34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Layout팀</v>
          </cell>
        </row>
        <row r="101">
          <cell r="A101" t="str">
            <v>20000140</v>
          </cell>
          <cell r="B101" t="str">
            <v>인병화</v>
          </cell>
          <cell r="C101" t="str">
            <v>8603311232815</v>
          </cell>
          <cell r="D101" t="str">
            <v>남</v>
          </cell>
          <cell r="E101" t="str">
            <v>19860331</v>
          </cell>
          <cell r="F101" t="str">
            <v>41</v>
          </cell>
          <cell r="G101" t="str">
            <v>재직자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Analog1파트</v>
          </cell>
        </row>
        <row r="102">
          <cell r="A102" t="str">
            <v>20000141</v>
          </cell>
          <cell r="B102" t="str">
            <v>박종훈</v>
          </cell>
          <cell r="C102" t="str">
            <v>9406121300118</v>
          </cell>
          <cell r="D102" t="str">
            <v>남</v>
          </cell>
          <cell r="E102" t="str">
            <v>19940612</v>
          </cell>
          <cell r="F102" t="str">
            <v>33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Digital IP파트</v>
          </cell>
        </row>
        <row r="103">
          <cell r="A103" t="str">
            <v>20000142</v>
          </cell>
          <cell r="B103" t="str">
            <v>김승중</v>
          </cell>
          <cell r="C103" t="str">
            <v>8107221057921</v>
          </cell>
          <cell r="D103" t="str">
            <v>남</v>
          </cell>
          <cell r="E103" t="str">
            <v>19810722</v>
          </cell>
          <cell r="F103" t="str">
            <v>46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피플팀</v>
          </cell>
        </row>
        <row r="104">
          <cell r="A104" t="str">
            <v>20000145</v>
          </cell>
          <cell r="B104" t="str">
            <v>이경원</v>
          </cell>
          <cell r="C104" t="str">
            <v>9608222053123</v>
          </cell>
          <cell r="D104" t="str">
            <v>여</v>
          </cell>
          <cell r="E104" t="str">
            <v>19960822</v>
          </cell>
          <cell r="F104" t="str">
            <v>31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재무관리팀</v>
          </cell>
        </row>
        <row r="105">
          <cell r="A105" t="str">
            <v>20000146</v>
          </cell>
          <cell r="B105" t="str">
            <v>윤성탁</v>
          </cell>
          <cell r="C105" t="str">
            <v>8301231162615</v>
          </cell>
          <cell r="D105" t="str">
            <v>남</v>
          </cell>
          <cell r="E105" t="str">
            <v>19830123</v>
          </cell>
          <cell r="F105" t="str">
            <v>44</v>
          </cell>
          <cell r="G105" t="str">
            <v>재직자</v>
          </cell>
          <cell r="H105" t="str">
            <v>판교</v>
          </cell>
          <cell r="I105"/>
          <cell r="J105"/>
          <cell r="K105" t="str">
            <v>기술사무</v>
          </cell>
          <cell r="L105" t="str">
            <v>Logic파트</v>
          </cell>
        </row>
        <row r="106">
          <cell r="A106" t="str">
            <v>20000148</v>
          </cell>
          <cell r="B106" t="str">
            <v>정호용</v>
          </cell>
          <cell r="C106" t="str">
            <v>9405091127310</v>
          </cell>
          <cell r="D106" t="str">
            <v>남</v>
          </cell>
          <cell r="E106" t="str">
            <v>19940509</v>
          </cell>
          <cell r="F106" t="str">
            <v>33</v>
          </cell>
          <cell r="G106" t="str">
            <v>재직자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Analog1파트</v>
          </cell>
        </row>
        <row r="107">
          <cell r="A107" t="str">
            <v>20000151</v>
          </cell>
          <cell r="B107" t="str">
            <v>김형호</v>
          </cell>
          <cell r="C107" t="str">
            <v>8807141183024</v>
          </cell>
          <cell r="D107" t="str">
            <v>남</v>
          </cell>
          <cell r="E107" t="str">
            <v>19880714</v>
          </cell>
          <cell r="F107" t="str">
            <v>39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기술사무</v>
          </cell>
          <cell r="L107" t="str">
            <v>영업팀</v>
          </cell>
        </row>
        <row r="108">
          <cell r="A108" t="str">
            <v>20000152</v>
          </cell>
          <cell r="B108" t="str">
            <v>홍형도</v>
          </cell>
          <cell r="C108" t="str">
            <v>8408261182917</v>
          </cell>
          <cell r="D108" t="str">
            <v>남</v>
          </cell>
          <cell r="E108" t="str">
            <v>19840826</v>
          </cell>
          <cell r="F108" t="str">
            <v>43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DDI마케팅파트</v>
          </cell>
        </row>
        <row r="109">
          <cell r="A109" t="str">
            <v>20000154</v>
          </cell>
          <cell r="B109" t="str">
            <v>김민건</v>
          </cell>
          <cell r="C109" t="str">
            <v>8109261065711</v>
          </cell>
          <cell r="D109" t="str">
            <v>남</v>
          </cell>
          <cell r="E109" t="str">
            <v>19810926</v>
          </cell>
          <cell r="F109" t="str">
            <v>46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영업팀</v>
          </cell>
        </row>
        <row r="110">
          <cell r="A110" t="str">
            <v>20000155</v>
          </cell>
          <cell r="B110" t="str">
            <v>배윤미</v>
          </cell>
          <cell r="C110" t="str">
            <v>7909222768233</v>
          </cell>
          <cell r="D110" t="str">
            <v>여</v>
          </cell>
          <cell r="E110" t="str">
            <v>19790922</v>
          </cell>
          <cell r="F110" t="str">
            <v>48</v>
          </cell>
          <cell r="G110" t="str">
            <v>재직자</v>
          </cell>
          <cell r="H110" t="str">
            <v>판교</v>
          </cell>
          <cell r="I110"/>
          <cell r="J110"/>
          <cell r="K110" t="str">
            <v>기술사무</v>
          </cell>
          <cell r="L110" t="str">
            <v>재무관리팀</v>
          </cell>
        </row>
        <row r="111">
          <cell r="A111" t="str">
            <v>20000158</v>
          </cell>
          <cell r="B111" t="str">
            <v>이재현</v>
          </cell>
          <cell r="C111" t="str">
            <v>9609021351913</v>
          </cell>
          <cell r="D111" t="str">
            <v>남</v>
          </cell>
          <cell r="E111" t="str">
            <v>19960902</v>
          </cell>
          <cell r="F111" t="str">
            <v>31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IT파트</v>
          </cell>
        </row>
        <row r="112">
          <cell r="A112" t="str">
            <v>20000163</v>
          </cell>
          <cell r="B112" t="str">
            <v>조아연</v>
          </cell>
          <cell r="C112" t="str">
            <v>9712232170221</v>
          </cell>
          <cell r="D112" t="str">
            <v>여</v>
          </cell>
          <cell r="E112" t="str">
            <v>19971223</v>
          </cell>
          <cell r="F112" t="str">
            <v>30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2파트</v>
          </cell>
        </row>
        <row r="113">
          <cell r="A113" t="str">
            <v>20000164</v>
          </cell>
          <cell r="B113" t="str">
            <v>강대현</v>
          </cell>
          <cell r="C113" t="str">
            <v>9811201188316</v>
          </cell>
          <cell r="D113" t="str">
            <v>남</v>
          </cell>
          <cell r="E113" t="str">
            <v>19981120</v>
          </cell>
          <cell r="F113" t="str">
            <v>29</v>
          </cell>
          <cell r="G113" t="str">
            <v>재직자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Layout팀</v>
          </cell>
        </row>
        <row r="114">
          <cell r="A114" t="str">
            <v>20000166</v>
          </cell>
          <cell r="B114" t="str">
            <v>강동균</v>
          </cell>
          <cell r="C114" t="str">
            <v>0001083696519</v>
          </cell>
          <cell r="D114" t="str">
            <v>남</v>
          </cell>
          <cell r="E114" t="str">
            <v>20000108</v>
          </cell>
          <cell r="F114" t="str">
            <v>27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외주생산파트</v>
          </cell>
        </row>
        <row r="115">
          <cell r="A115" t="str">
            <v>20000167</v>
          </cell>
          <cell r="B115" t="str">
            <v>최강준</v>
          </cell>
          <cell r="C115" t="str">
            <v>9802191560412</v>
          </cell>
          <cell r="D115" t="str">
            <v>남</v>
          </cell>
          <cell r="E115" t="str">
            <v>19980219</v>
          </cell>
          <cell r="F115" t="str">
            <v>29</v>
          </cell>
          <cell r="G115" t="str">
            <v>재직자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전략구매파트</v>
          </cell>
        </row>
        <row r="116">
          <cell r="A116" t="str">
            <v>20000168</v>
          </cell>
          <cell r="B116" t="str">
            <v>김지원</v>
          </cell>
          <cell r="C116" t="str">
            <v>0002194674418</v>
          </cell>
          <cell r="D116" t="str">
            <v>여</v>
          </cell>
          <cell r="E116" t="str">
            <v>20000219</v>
          </cell>
          <cell r="F116" t="str">
            <v>27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제품개발1파트</v>
          </cell>
        </row>
        <row r="117">
          <cell r="A117" t="str">
            <v>20000170</v>
          </cell>
          <cell r="B117" t="str">
            <v>이호현</v>
          </cell>
          <cell r="C117" t="str">
            <v>9611291248014</v>
          </cell>
          <cell r="D117" t="str">
            <v>남</v>
          </cell>
          <cell r="E117" t="str">
            <v>19961129</v>
          </cell>
          <cell r="F117" t="str">
            <v>31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Analog2파트</v>
          </cell>
        </row>
        <row r="118">
          <cell r="A118" t="str">
            <v>20000171</v>
          </cell>
          <cell r="B118" t="str">
            <v>권기헌</v>
          </cell>
          <cell r="C118" t="str">
            <v>9611161034819</v>
          </cell>
          <cell r="D118" t="str">
            <v>남</v>
          </cell>
          <cell r="E118" t="str">
            <v>19961116</v>
          </cell>
          <cell r="F118" t="str">
            <v>31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Digital IP파트</v>
          </cell>
        </row>
        <row r="119">
          <cell r="A119" t="str">
            <v>20000172</v>
          </cell>
          <cell r="B119" t="str">
            <v>박정은</v>
          </cell>
          <cell r="C119" t="str">
            <v>9907072200616</v>
          </cell>
          <cell r="D119" t="str">
            <v>여</v>
          </cell>
          <cell r="E119" t="str">
            <v>19990707</v>
          </cell>
          <cell r="F119" t="str">
            <v>28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기술사무</v>
          </cell>
          <cell r="L119" t="str">
            <v>Logic파트</v>
          </cell>
        </row>
        <row r="120">
          <cell r="A120" t="str">
            <v>20000173</v>
          </cell>
          <cell r="B120" t="str">
            <v>백종대</v>
          </cell>
          <cell r="C120" t="str">
            <v>9311061169516</v>
          </cell>
          <cell r="D120" t="str">
            <v>남</v>
          </cell>
          <cell r="E120" t="str">
            <v>19931106</v>
          </cell>
          <cell r="F120" t="str">
            <v>34</v>
          </cell>
          <cell r="G120" t="str">
            <v>재직자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피플팀</v>
          </cell>
        </row>
        <row r="121">
          <cell r="A121" t="str">
            <v>20000174</v>
          </cell>
          <cell r="B121" t="str">
            <v>김형필</v>
          </cell>
          <cell r="C121" t="str">
            <v>8711261303015</v>
          </cell>
          <cell r="D121" t="str">
            <v>남</v>
          </cell>
          <cell r="E121" t="str">
            <v>19871126</v>
          </cell>
          <cell r="F121" t="str">
            <v>40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제품개발2파트</v>
          </cell>
        </row>
        <row r="122">
          <cell r="A122" t="str">
            <v>20000176</v>
          </cell>
          <cell r="B122" t="str">
            <v>강의진</v>
          </cell>
          <cell r="C122" t="str">
            <v>9807032831227</v>
          </cell>
          <cell r="D122" t="str">
            <v>여</v>
          </cell>
          <cell r="E122" t="str">
            <v>19980703</v>
          </cell>
          <cell r="F122" t="str">
            <v>29</v>
          </cell>
          <cell r="G122" t="str">
            <v>재직자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Digital IP파트</v>
          </cell>
        </row>
        <row r="123">
          <cell r="A123" t="str">
            <v>20000177</v>
          </cell>
          <cell r="B123" t="str">
            <v>정영욱</v>
          </cell>
          <cell r="C123" t="str">
            <v>9312241052811</v>
          </cell>
          <cell r="D123" t="str">
            <v>남</v>
          </cell>
          <cell r="E123" t="str">
            <v>19931224</v>
          </cell>
          <cell r="F123" t="str">
            <v>34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피플팀</v>
          </cell>
        </row>
        <row r="124">
          <cell r="A124" t="str">
            <v>20000178</v>
          </cell>
          <cell r="B124" t="str">
            <v>이조운</v>
          </cell>
          <cell r="C124" t="str">
            <v>7808031057437</v>
          </cell>
          <cell r="D124" t="str">
            <v>남</v>
          </cell>
          <cell r="E124" t="str">
            <v>19780803</v>
          </cell>
          <cell r="F124" t="str">
            <v>49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ESD팀</v>
          </cell>
        </row>
        <row r="125">
          <cell r="A125" t="str">
            <v>20000179</v>
          </cell>
          <cell r="B125" t="str">
            <v>박원석</v>
          </cell>
          <cell r="C125" t="str">
            <v>8605211042015</v>
          </cell>
          <cell r="D125" t="str">
            <v>남</v>
          </cell>
          <cell r="E125" t="str">
            <v>19860521</v>
          </cell>
          <cell r="F125" t="str">
            <v>41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ESD팀</v>
          </cell>
        </row>
        <row r="126">
          <cell r="A126" t="str">
            <v>20000180</v>
          </cell>
          <cell r="B126" t="str">
            <v>김동욱</v>
          </cell>
          <cell r="C126" t="str">
            <v>9505061067211</v>
          </cell>
          <cell r="D126" t="str">
            <v>남</v>
          </cell>
          <cell r="E126" t="str">
            <v>19950506</v>
          </cell>
          <cell r="F126" t="str">
            <v>32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기술사무</v>
          </cell>
          <cell r="L126" t="str">
            <v>1파트</v>
          </cell>
        </row>
        <row r="127">
          <cell r="A127" t="str">
            <v>20000182</v>
          </cell>
          <cell r="B127" t="str">
            <v>진유남</v>
          </cell>
          <cell r="C127" t="str">
            <v>9711222108516</v>
          </cell>
          <cell r="D127" t="str">
            <v>여</v>
          </cell>
          <cell r="E127" t="str">
            <v>19971122</v>
          </cell>
          <cell r="F127" t="str">
            <v>30</v>
          </cell>
          <cell r="G127" t="str">
            <v>재직자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2파트</v>
          </cell>
        </row>
        <row r="128">
          <cell r="A128" t="str">
            <v>20000183</v>
          </cell>
          <cell r="B128" t="str">
            <v>공수현</v>
          </cell>
          <cell r="C128" t="str">
            <v>8311191344215</v>
          </cell>
          <cell r="D128" t="str">
            <v>남</v>
          </cell>
          <cell r="E128" t="str">
            <v>19831119</v>
          </cell>
          <cell r="F128" t="str">
            <v>44</v>
          </cell>
          <cell r="G128" t="str">
            <v>재직자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제품기술팀</v>
          </cell>
        </row>
        <row r="129">
          <cell r="A129" t="str">
            <v>20000184</v>
          </cell>
          <cell r="B129" t="str">
            <v>김세호</v>
          </cell>
          <cell r="C129" t="str">
            <v>8901175920068</v>
          </cell>
          <cell r="D129" t="str">
            <v>남</v>
          </cell>
          <cell r="E129" t="str">
            <v>19890117</v>
          </cell>
          <cell r="F129" t="str">
            <v>38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제품개발1파트</v>
          </cell>
        </row>
        <row r="130">
          <cell r="A130" t="str">
            <v>20000185</v>
          </cell>
          <cell r="B130" t="str">
            <v>조준형</v>
          </cell>
          <cell r="C130" t="str">
            <v>9501091171419</v>
          </cell>
          <cell r="D130" t="str">
            <v>남</v>
          </cell>
          <cell r="E130" t="str">
            <v>19950109</v>
          </cell>
          <cell r="F130" t="str">
            <v>32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Analog1파트</v>
          </cell>
        </row>
        <row r="131">
          <cell r="A131" t="str">
            <v>20000186</v>
          </cell>
          <cell r="B131" t="str">
            <v>변승찬</v>
          </cell>
          <cell r="C131" t="str">
            <v>7702131149419</v>
          </cell>
          <cell r="D131" t="str">
            <v>남</v>
          </cell>
          <cell r="E131" t="str">
            <v>19770213</v>
          </cell>
          <cell r="F131" t="str">
            <v>50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Digital IP파트</v>
          </cell>
        </row>
        <row r="132">
          <cell r="A132" t="str">
            <v>20000187</v>
          </cell>
          <cell r="B132" t="str">
            <v>박찬호</v>
          </cell>
          <cell r="C132" t="str">
            <v>6401025100376</v>
          </cell>
          <cell r="D132" t="str">
            <v>남</v>
          </cell>
          <cell r="E132" t="str">
            <v>19640102</v>
          </cell>
          <cell r="F132" t="str">
            <v>63</v>
          </cell>
          <cell r="G132" t="str">
            <v>재직자</v>
          </cell>
          <cell r="H132" t="str">
            <v>판교</v>
          </cell>
          <cell r="I132"/>
          <cell r="J132"/>
          <cell r="K132" t="str">
            <v>임원</v>
          </cell>
          <cell r="L132" t="str">
            <v>DB글로벌칩</v>
          </cell>
        </row>
        <row r="133">
          <cell r="A133" t="str">
            <v>20000188</v>
          </cell>
          <cell r="B133" t="str">
            <v>김병용</v>
          </cell>
          <cell r="C133" t="str">
            <v>8408271350819</v>
          </cell>
          <cell r="D133" t="str">
            <v>남</v>
          </cell>
          <cell r="E133" t="str">
            <v>19840827</v>
          </cell>
          <cell r="F133" t="str">
            <v>43</v>
          </cell>
          <cell r="G133" t="str">
            <v>재직자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제품개발2파트</v>
          </cell>
        </row>
        <row r="134">
          <cell r="A134" t="str">
            <v>20000189</v>
          </cell>
          <cell r="B134" t="str">
            <v>이태호</v>
          </cell>
          <cell r="C134" t="str">
            <v>9509181025628</v>
          </cell>
          <cell r="D134" t="str">
            <v>남</v>
          </cell>
          <cell r="E134" t="str">
            <v>19950918</v>
          </cell>
          <cell r="F134" t="str">
            <v>32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Layout팀</v>
          </cell>
        </row>
        <row r="135">
          <cell r="A135" t="str">
            <v>20000190</v>
          </cell>
          <cell r="B135" t="str">
            <v>최윤서</v>
          </cell>
          <cell r="C135" t="str">
            <v>9808262209210</v>
          </cell>
          <cell r="D135" t="str">
            <v>여</v>
          </cell>
          <cell r="E135" t="str">
            <v>19980826</v>
          </cell>
          <cell r="F135" t="str">
            <v>29</v>
          </cell>
          <cell r="G135" t="str">
            <v>재직자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ESD팀</v>
          </cell>
        </row>
        <row r="136">
          <cell r="A136" t="str">
            <v>20000191</v>
          </cell>
          <cell r="B136" t="str">
            <v>육흥섭</v>
          </cell>
          <cell r="C136" t="str">
            <v>8902091149739</v>
          </cell>
          <cell r="D136" t="str">
            <v>남</v>
          </cell>
          <cell r="E136" t="str">
            <v>19890209</v>
          </cell>
          <cell r="F136" t="str">
            <v>38</v>
          </cell>
          <cell r="G136" t="str">
            <v>재직자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PKG파트</v>
          </cell>
        </row>
        <row r="137">
          <cell r="A137" t="str">
            <v>20000192</v>
          </cell>
          <cell r="B137" t="str">
            <v>이민수</v>
          </cell>
          <cell r="C137" t="str">
            <v>9501221150221</v>
          </cell>
          <cell r="D137" t="str">
            <v>남</v>
          </cell>
          <cell r="E137" t="str">
            <v>19950122</v>
          </cell>
          <cell r="F137" t="str">
            <v>32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품질팀</v>
          </cell>
        </row>
        <row r="138">
          <cell r="A138" t="str">
            <v>20000193</v>
          </cell>
          <cell r="B138" t="str">
            <v>허용무</v>
          </cell>
          <cell r="C138" t="str">
            <v>8106081520318</v>
          </cell>
          <cell r="D138" t="str">
            <v>남</v>
          </cell>
          <cell r="E138" t="str">
            <v>19810608</v>
          </cell>
          <cell r="F138" t="str">
            <v>46</v>
          </cell>
          <cell r="G138" t="str">
            <v>재직자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제품기술팀</v>
          </cell>
        </row>
        <row r="139">
          <cell r="A139" t="str">
            <v>20000194</v>
          </cell>
          <cell r="B139" t="str">
            <v>정민혜</v>
          </cell>
          <cell r="C139" t="str">
            <v>0001034056322</v>
          </cell>
          <cell r="D139" t="str">
            <v>여</v>
          </cell>
          <cell r="E139" t="str">
            <v>20000103</v>
          </cell>
          <cell r="F139" t="str">
            <v>27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기술사무</v>
          </cell>
          <cell r="L139" t="str">
            <v>Logic파트</v>
          </cell>
        </row>
        <row r="140">
          <cell r="A140" t="str">
            <v>20000195</v>
          </cell>
          <cell r="B140" t="str">
            <v>이수연</v>
          </cell>
          <cell r="C140" t="str">
            <v>0207184520318</v>
          </cell>
          <cell r="D140" t="str">
            <v>여</v>
          </cell>
          <cell r="E140" t="str">
            <v>20020718</v>
          </cell>
          <cell r="F140" t="str">
            <v>25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계약</v>
          </cell>
          <cell r="L140" t="str">
            <v>장애인 선수단</v>
          </cell>
        </row>
        <row r="141">
          <cell r="A141" t="str">
            <v>20000196</v>
          </cell>
          <cell r="B141" t="str">
            <v>이지영</v>
          </cell>
          <cell r="C141" t="str">
            <v>8009212080516</v>
          </cell>
          <cell r="D141" t="str">
            <v>여</v>
          </cell>
          <cell r="E141" t="str">
            <v>19800921</v>
          </cell>
          <cell r="F141" t="str">
            <v>47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계약</v>
          </cell>
          <cell r="L141" t="str">
            <v>장애인 선수단</v>
          </cell>
        </row>
        <row r="142">
          <cell r="A142" t="str">
            <v>20000197</v>
          </cell>
          <cell r="B142" t="str">
            <v>유소연</v>
          </cell>
          <cell r="C142" t="str">
            <v>9505212163313</v>
          </cell>
          <cell r="D142" t="str">
            <v>여</v>
          </cell>
          <cell r="E142" t="str">
            <v>19950521</v>
          </cell>
          <cell r="F142" t="str">
            <v>32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피플팀</v>
          </cell>
        </row>
        <row r="143">
          <cell r="A143" t="str">
            <v>20000200</v>
          </cell>
          <cell r="B143" t="str">
            <v>김기열</v>
          </cell>
          <cell r="C143" t="str">
            <v>9807131803213</v>
          </cell>
          <cell r="D143" t="str">
            <v>남</v>
          </cell>
          <cell r="E143" t="str">
            <v>19980713</v>
          </cell>
          <cell r="F143" t="str">
            <v>29</v>
          </cell>
          <cell r="G143" t="str">
            <v>재직자</v>
          </cell>
          <cell r="H143" t="str">
            <v>판교</v>
          </cell>
          <cell r="I143"/>
          <cell r="J143"/>
          <cell r="K143" t="str">
            <v>기술사무</v>
          </cell>
          <cell r="L143" t="str">
            <v>제품개발1파트</v>
          </cell>
        </row>
        <row r="144">
          <cell r="A144" t="str">
            <v>20000204</v>
          </cell>
          <cell r="B144" t="str">
            <v>정세민</v>
          </cell>
          <cell r="C144" t="str">
            <v>9808211711517</v>
          </cell>
          <cell r="D144" t="str">
            <v>남</v>
          </cell>
          <cell r="E144" t="str">
            <v>19980821</v>
          </cell>
          <cell r="F144" t="str">
            <v>29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Logic파트</v>
          </cell>
        </row>
        <row r="145">
          <cell r="A145" t="str">
            <v>20000205</v>
          </cell>
          <cell r="B145" t="str">
            <v>이준민</v>
          </cell>
          <cell r="C145" t="str">
            <v>9603221199847</v>
          </cell>
          <cell r="D145" t="str">
            <v>남</v>
          </cell>
          <cell r="E145" t="str">
            <v>19960322</v>
          </cell>
          <cell r="F145" t="str">
            <v>31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Analog1파트</v>
          </cell>
        </row>
        <row r="146">
          <cell r="A146" t="str">
            <v>20000206</v>
          </cell>
          <cell r="B146" t="str">
            <v>목정수</v>
          </cell>
          <cell r="C146" t="str">
            <v>9809291046819</v>
          </cell>
          <cell r="D146" t="str">
            <v>남</v>
          </cell>
          <cell r="E146" t="str">
            <v>19980929</v>
          </cell>
          <cell r="F146" t="str">
            <v>29</v>
          </cell>
          <cell r="G146" t="str">
            <v>재직자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Interface파트</v>
          </cell>
        </row>
        <row r="147">
          <cell r="A147" t="str">
            <v>20000207</v>
          </cell>
          <cell r="B147" t="str">
            <v>한시연</v>
          </cell>
          <cell r="C147" t="str">
            <v>0010244094212</v>
          </cell>
          <cell r="D147" t="str">
            <v>여</v>
          </cell>
          <cell r="E147" t="str">
            <v>20001024</v>
          </cell>
          <cell r="F147" t="str">
            <v>27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기술사무</v>
          </cell>
          <cell r="L147" t="str">
            <v>Logic파트</v>
          </cell>
        </row>
        <row r="148">
          <cell r="A148" t="str">
            <v>20000208</v>
          </cell>
          <cell r="B148" t="str">
            <v>최효정</v>
          </cell>
          <cell r="C148" t="str">
            <v>9803162127111</v>
          </cell>
          <cell r="D148" t="str">
            <v>여</v>
          </cell>
          <cell r="E148" t="str">
            <v>19980316</v>
          </cell>
          <cell r="F148" t="str">
            <v>29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기술사무</v>
          </cell>
          <cell r="L148" t="str">
            <v>Digital IP파트</v>
          </cell>
        </row>
        <row r="149">
          <cell r="A149" t="str">
            <v>20000209</v>
          </cell>
          <cell r="B149" t="str">
            <v>김봉수</v>
          </cell>
          <cell r="C149" t="str">
            <v>9610241407911</v>
          </cell>
          <cell r="D149" t="str">
            <v>남</v>
          </cell>
          <cell r="E149" t="str">
            <v>19961024</v>
          </cell>
          <cell r="F149" t="str">
            <v>31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제품개발2파트</v>
          </cell>
        </row>
        <row r="150">
          <cell r="A150" t="str">
            <v>20000210</v>
          </cell>
          <cell r="B150" t="str">
            <v>한유리</v>
          </cell>
          <cell r="C150" t="str">
            <v>9906242685254</v>
          </cell>
          <cell r="D150" t="str">
            <v>여</v>
          </cell>
          <cell r="E150" t="str">
            <v>19990624</v>
          </cell>
          <cell r="F150" t="str">
            <v>28</v>
          </cell>
          <cell r="G150" t="str">
            <v>재직자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2파트</v>
          </cell>
        </row>
        <row r="151">
          <cell r="A151" t="str">
            <v>20000211</v>
          </cell>
          <cell r="B151" t="str">
            <v>김채원</v>
          </cell>
          <cell r="C151" t="str">
            <v>9310061077213</v>
          </cell>
          <cell r="D151" t="str">
            <v>남</v>
          </cell>
          <cell r="E151" t="str">
            <v>19931006</v>
          </cell>
          <cell r="F151" t="str">
            <v>34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1파트</v>
          </cell>
        </row>
        <row r="152">
          <cell r="A152" t="str">
            <v>20000213</v>
          </cell>
          <cell r="B152" t="str">
            <v>주유진</v>
          </cell>
          <cell r="C152" t="str">
            <v>9504262051910</v>
          </cell>
          <cell r="D152" t="str">
            <v>여</v>
          </cell>
          <cell r="E152" t="str">
            <v>19950426</v>
          </cell>
          <cell r="F152" t="str">
            <v>32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재무관리팀</v>
          </cell>
        </row>
        <row r="153">
          <cell r="A153" t="str">
            <v>20000214</v>
          </cell>
          <cell r="B153" t="str">
            <v>문보영</v>
          </cell>
          <cell r="C153" t="str">
            <v>7909121637318</v>
          </cell>
          <cell r="D153" t="str">
            <v>남</v>
          </cell>
          <cell r="E153" t="str">
            <v>19790912</v>
          </cell>
          <cell r="F153" t="str">
            <v>48</v>
          </cell>
          <cell r="G153" t="str">
            <v>재직자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영업팀</v>
          </cell>
        </row>
        <row r="154">
          <cell r="A154" t="str">
            <v>20000215</v>
          </cell>
          <cell r="B154" t="str">
            <v>이광수</v>
          </cell>
          <cell r="C154" t="str">
            <v>7106011540919</v>
          </cell>
          <cell r="D154" t="str">
            <v>남</v>
          </cell>
          <cell r="E154" t="str">
            <v>19710601</v>
          </cell>
          <cell r="F154" t="str">
            <v>56</v>
          </cell>
          <cell r="G154" t="str">
            <v>재직자</v>
          </cell>
          <cell r="H154" t="str">
            <v>판교</v>
          </cell>
          <cell r="I154"/>
          <cell r="J154"/>
          <cell r="K154" t="str">
            <v>임원</v>
          </cell>
          <cell r="L154" t="str">
            <v>영업담당</v>
          </cell>
        </row>
        <row r="155">
          <cell r="A155" t="str">
            <v>20000217</v>
          </cell>
          <cell r="B155" t="str">
            <v>진현우</v>
          </cell>
          <cell r="C155" t="str">
            <v>9002281052017</v>
          </cell>
          <cell r="D155" t="str">
            <v>남</v>
          </cell>
          <cell r="E155" t="str">
            <v>19900228</v>
          </cell>
          <cell r="F155" t="str">
            <v>37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Digital IP파트</v>
          </cell>
        </row>
        <row r="156">
          <cell r="A156" t="str">
            <v>20000218</v>
          </cell>
          <cell r="B156" t="str">
            <v>최재봉</v>
          </cell>
          <cell r="C156" t="str">
            <v>8709161391210</v>
          </cell>
          <cell r="D156" t="str">
            <v>남</v>
          </cell>
          <cell r="E156" t="str">
            <v>19870916</v>
          </cell>
          <cell r="F156" t="str">
            <v>40</v>
          </cell>
          <cell r="G156" t="str">
            <v>재직자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Logic파트</v>
          </cell>
        </row>
        <row r="157">
          <cell r="A157" t="str">
            <v>20000219</v>
          </cell>
          <cell r="B157" t="str">
            <v>이상우</v>
          </cell>
          <cell r="C157" t="str">
            <v>9106221143517</v>
          </cell>
          <cell r="D157" t="str">
            <v>남</v>
          </cell>
          <cell r="E157" t="str">
            <v>19910622</v>
          </cell>
          <cell r="F157" t="str">
            <v>36</v>
          </cell>
          <cell r="G157" t="str">
            <v>재직자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Digital IP파트</v>
          </cell>
        </row>
        <row r="158">
          <cell r="A158" t="str">
            <v>20000220</v>
          </cell>
          <cell r="B158" t="str">
            <v>박휘수</v>
          </cell>
          <cell r="C158" t="str">
            <v>9406061167510</v>
          </cell>
          <cell r="D158" t="str">
            <v>남</v>
          </cell>
          <cell r="E158" t="str">
            <v>19940606</v>
          </cell>
          <cell r="F158" t="str">
            <v>33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Logic파트</v>
          </cell>
        </row>
        <row r="159">
          <cell r="A159" t="str">
            <v>20000223</v>
          </cell>
          <cell r="B159" t="str">
            <v>김영웅</v>
          </cell>
          <cell r="C159" t="str">
            <v>9910191183918</v>
          </cell>
          <cell r="D159" t="str">
            <v>남</v>
          </cell>
          <cell r="E159" t="str">
            <v>19991019</v>
          </cell>
          <cell r="F159" t="str">
            <v>28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Layout팀</v>
          </cell>
        </row>
        <row r="160">
          <cell r="A160" t="str">
            <v>20000224</v>
          </cell>
          <cell r="B160" t="str">
            <v>이명학</v>
          </cell>
          <cell r="C160" t="str">
            <v>9001181392816</v>
          </cell>
          <cell r="D160" t="str">
            <v>남</v>
          </cell>
          <cell r="E160" t="str">
            <v>19900118</v>
          </cell>
          <cell r="F160" t="str">
            <v>37</v>
          </cell>
          <cell r="G160" t="str">
            <v>재직자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제품개발2파트</v>
          </cell>
        </row>
        <row r="161">
          <cell r="A161" t="str">
            <v>20000225</v>
          </cell>
          <cell r="B161" t="str">
            <v>김대봉</v>
          </cell>
          <cell r="C161" t="str">
            <v>6904151633111</v>
          </cell>
          <cell r="D161" t="str">
            <v>남</v>
          </cell>
          <cell r="E161" t="str">
            <v>19690415</v>
          </cell>
          <cell r="F161" t="str">
            <v>58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기술사무</v>
          </cell>
          <cell r="L161" t="str">
            <v>PMIC사업담당</v>
          </cell>
        </row>
        <row r="162">
          <cell r="A162" t="str">
            <v>20000227</v>
          </cell>
          <cell r="B162" t="str">
            <v>문경록</v>
          </cell>
          <cell r="C162" t="str">
            <v>7810121559231</v>
          </cell>
          <cell r="D162" t="str">
            <v>남</v>
          </cell>
          <cell r="E162" t="str">
            <v>19781012</v>
          </cell>
          <cell r="F162" t="str">
            <v>49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PMIC마케팅파트</v>
          </cell>
        </row>
        <row r="163">
          <cell r="A163" t="str">
            <v>20000228</v>
          </cell>
          <cell r="B163" t="str">
            <v>이동매</v>
          </cell>
          <cell r="C163" t="str">
            <v>9201236920102</v>
          </cell>
          <cell r="D163" t="str">
            <v>여</v>
          </cell>
          <cell r="E163" t="str">
            <v>19920123</v>
          </cell>
          <cell r="F163" t="str">
            <v>35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DDI마케팅파트</v>
          </cell>
        </row>
        <row r="164">
          <cell r="A164" t="str">
            <v>20000229</v>
          </cell>
          <cell r="B164" t="str">
            <v>최상신</v>
          </cell>
          <cell r="C164" t="str">
            <v>7210061639324</v>
          </cell>
          <cell r="D164" t="str">
            <v>남</v>
          </cell>
          <cell r="E164" t="str">
            <v>19721006</v>
          </cell>
          <cell r="F164" t="str">
            <v>55</v>
          </cell>
          <cell r="G164" t="str">
            <v>재직자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Logic개발팀</v>
          </cell>
        </row>
        <row r="165">
          <cell r="A165" t="str">
            <v>20000230</v>
          </cell>
          <cell r="B165" t="str">
            <v>박창선</v>
          </cell>
          <cell r="C165" t="str">
            <v>7311271481815</v>
          </cell>
          <cell r="D165" t="str">
            <v>남</v>
          </cell>
          <cell r="E165" t="str">
            <v>19731127</v>
          </cell>
          <cell r="F165" t="str">
            <v>54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Analog개발팀</v>
          </cell>
        </row>
        <row r="166">
          <cell r="A166" t="str">
            <v>20000231</v>
          </cell>
          <cell r="B166" t="str">
            <v>김정현</v>
          </cell>
          <cell r="C166" t="str">
            <v>7702031058510</v>
          </cell>
          <cell r="D166" t="str">
            <v>남</v>
          </cell>
          <cell r="E166" t="str">
            <v>19770203</v>
          </cell>
          <cell r="F166" t="str">
            <v>50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2파트</v>
          </cell>
        </row>
        <row r="167">
          <cell r="A167" t="str">
            <v>20000232</v>
          </cell>
          <cell r="B167" t="str">
            <v>홍다솜</v>
          </cell>
          <cell r="C167" t="str">
            <v>9210042063214</v>
          </cell>
          <cell r="D167" t="str">
            <v>여</v>
          </cell>
          <cell r="E167" t="str">
            <v>19921004</v>
          </cell>
          <cell r="F167" t="str">
            <v>35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제품기술팀</v>
          </cell>
        </row>
        <row r="168">
          <cell r="A168" t="str">
            <v>20000235</v>
          </cell>
          <cell r="B168" t="str">
            <v>김윤종</v>
          </cell>
          <cell r="C168" t="str">
            <v>7406161011714</v>
          </cell>
          <cell r="D168" t="str">
            <v>남</v>
          </cell>
          <cell r="E168" t="str">
            <v>19740616</v>
          </cell>
          <cell r="F168" t="str">
            <v>53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기술사무</v>
          </cell>
          <cell r="L168" t="str">
            <v>Logic파트</v>
          </cell>
        </row>
        <row r="169">
          <cell r="A169" t="str">
            <v>20000236</v>
          </cell>
          <cell r="B169" t="str">
            <v>이종수</v>
          </cell>
          <cell r="C169" t="str">
            <v>8201251351314</v>
          </cell>
          <cell r="D169" t="str">
            <v>남</v>
          </cell>
          <cell r="E169" t="str">
            <v>19820125</v>
          </cell>
          <cell r="F169" t="str">
            <v>45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Analog2파트</v>
          </cell>
        </row>
        <row r="170">
          <cell r="A170" t="str">
            <v>20000237</v>
          </cell>
          <cell r="B170" t="str">
            <v>전영준</v>
          </cell>
          <cell r="C170" t="str">
            <v>8908071163919</v>
          </cell>
          <cell r="D170" t="str">
            <v>남</v>
          </cell>
          <cell r="E170" t="str">
            <v>19890807</v>
          </cell>
          <cell r="F170" t="str">
            <v>38</v>
          </cell>
          <cell r="G170" t="str">
            <v>재직자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Digital IP파트</v>
          </cell>
        </row>
        <row r="171">
          <cell r="A171" t="str">
            <v>20000238</v>
          </cell>
          <cell r="B171" t="str">
            <v>이창배</v>
          </cell>
          <cell r="C171" t="str">
            <v>8908141398421</v>
          </cell>
          <cell r="D171" t="str">
            <v>남</v>
          </cell>
          <cell r="E171" t="str">
            <v>19890814</v>
          </cell>
          <cell r="F171" t="str">
            <v>38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제품개발2파트</v>
          </cell>
        </row>
        <row r="172">
          <cell r="A172" t="str">
            <v>20000239</v>
          </cell>
          <cell r="B172" t="str">
            <v>신순연</v>
          </cell>
          <cell r="C172" t="str">
            <v>8606016760171</v>
          </cell>
          <cell r="D172" t="str">
            <v>여</v>
          </cell>
          <cell r="E172" t="str">
            <v>19860601</v>
          </cell>
          <cell r="F172" t="str">
            <v>41</v>
          </cell>
          <cell r="G172" t="str">
            <v>재직자</v>
          </cell>
          <cell r="H172" t="str">
            <v>중국</v>
          </cell>
          <cell r="I172" t="str">
            <v>심천</v>
          </cell>
          <cell r="J172"/>
          <cell r="K172" t="str">
            <v>기술사무</v>
          </cell>
          <cell r="L172" t="str">
            <v>심천지사</v>
          </cell>
        </row>
        <row r="173">
          <cell r="A173" t="str">
            <v>20000240</v>
          </cell>
          <cell r="B173" t="str">
            <v>김명관</v>
          </cell>
          <cell r="C173" t="str">
            <v>8005171480815</v>
          </cell>
          <cell r="D173" t="str">
            <v>남</v>
          </cell>
          <cell r="E173" t="str">
            <v>19800517</v>
          </cell>
          <cell r="F173" t="str">
            <v>47</v>
          </cell>
          <cell r="G173" t="str">
            <v>재직자</v>
          </cell>
          <cell r="H173" t="str">
            <v>중국</v>
          </cell>
          <cell r="I173" t="str">
            <v>심천</v>
          </cell>
          <cell r="J173"/>
          <cell r="K173" t="str">
            <v>기술사무</v>
          </cell>
          <cell r="L173" t="str">
            <v>심천지사</v>
          </cell>
        </row>
        <row r="174">
          <cell r="A174" t="str">
            <v>20000241</v>
          </cell>
          <cell r="B174" t="str">
            <v>ZhangLiang</v>
          </cell>
          <cell r="C174" t="str">
            <v>9912047111111</v>
          </cell>
          <cell r="D174" t="str">
            <v>남</v>
          </cell>
          <cell r="E174" t="str">
            <v>19991204</v>
          </cell>
          <cell r="F174" t="str">
            <v>28</v>
          </cell>
          <cell r="G174" t="str">
            <v>재직자</v>
          </cell>
          <cell r="H174" t="str">
            <v>중국</v>
          </cell>
          <cell r="I174" t="str">
            <v>심천</v>
          </cell>
          <cell r="J174" t="str">
            <v>현지직원</v>
          </cell>
          <cell r="K174" t="str">
            <v>기술사무</v>
          </cell>
          <cell r="L174" t="str">
            <v>심천지사</v>
          </cell>
        </row>
        <row r="175">
          <cell r="A175" t="str">
            <v>20000242</v>
          </cell>
          <cell r="B175" t="str">
            <v>LinJessie</v>
          </cell>
          <cell r="C175" t="str">
            <v>9301272222222</v>
          </cell>
          <cell r="D175" t="str">
            <v>여</v>
          </cell>
          <cell r="E175" t="str">
            <v>19930127</v>
          </cell>
          <cell r="F175" t="str">
            <v>34</v>
          </cell>
          <cell r="G175" t="str">
            <v>재직자</v>
          </cell>
          <cell r="H175" t="str">
            <v>중국</v>
          </cell>
          <cell r="I175" t="str">
            <v>심천</v>
          </cell>
          <cell r="J175" t="str">
            <v>현지직원</v>
          </cell>
          <cell r="K175" t="str">
            <v>기술사무</v>
          </cell>
          <cell r="L175" t="str">
            <v>심천지사</v>
          </cell>
        </row>
        <row r="176">
          <cell r="A176" t="str">
            <v>20000243</v>
          </cell>
          <cell r="B176" t="str">
            <v>PiaoMeiLing</v>
          </cell>
          <cell r="C176" t="str">
            <v>9105192222222</v>
          </cell>
          <cell r="D176" t="str">
            <v>여</v>
          </cell>
          <cell r="E176" t="str">
            <v>19910519</v>
          </cell>
          <cell r="F176" t="str">
            <v>36</v>
          </cell>
          <cell r="G176" t="str">
            <v>재직자</v>
          </cell>
          <cell r="H176" t="str">
            <v>중국</v>
          </cell>
          <cell r="I176" t="str">
            <v>심천</v>
          </cell>
          <cell r="J176" t="str">
            <v>현지직원</v>
          </cell>
          <cell r="K176" t="str">
            <v>기술사무</v>
          </cell>
          <cell r="L176" t="str">
            <v>심천지사</v>
          </cell>
        </row>
        <row r="177">
          <cell r="A177" t="str">
            <v>20000244</v>
          </cell>
          <cell r="B177" t="str">
            <v>손지윤</v>
          </cell>
          <cell r="C177" t="str">
            <v>9009261860448</v>
          </cell>
          <cell r="D177" t="str">
            <v>남</v>
          </cell>
          <cell r="E177" t="str">
            <v>19900926</v>
          </cell>
          <cell r="F177" t="str">
            <v>37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재무관리팀</v>
          </cell>
        </row>
        <row r="178">
          <cell r="A178" t="str">
            <v>20000246</v>
          </cell>
          <cell r="B178" t="str">
            <v>김창호</v>
          </cell>
          <cell r="C178" t="str">
            <v>8211261403122</v>
          </cell>
          <cell r="D178" t="str">
            <v>남</v>
          </cell>
          <cell r="E178" t="str">
            <v>19821126</v>
          </cell>
          <cell r="F178" t="str">
            <v>45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Logic파트</v>
          </cell>
        </row>
        <row r="179">
          <cell r="A179" t="str">
            <v>20000247</v>
          </cell>
          <cell r="B179" t="str">
            <v>민경원</v>
          </cell>
          <cell r="C179" t="str">
            <v>7911281469312</v>
          </cell>
          <cell r="D179" t="str">
            <v>남</v>
          </cell>
          <cell r="E179" t="str">
            <v>19791128</v>
          </cell>
          <cell r="F179" t="str">
            <v>48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제품개발2파트</v>
          </cell>
        </row>
        <row r="180">
          <cell r="A180" t="str">
            <v>20000248</v>
          </cell>
          <cell r="B180" t="str">
            <v>김창민</v>
          </cell>
          <cell r="C180" t="str">
            <v>7503301668811</v>
          </cell>
          <cell r="D180" t="str">
            <v>남</v>
          </cell>
          <cell r="E180" t="str">
            <v>19750330</v>
          </cell>
          <cell r="F180" t="str">
            <v>52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PMIC개발팀</v>
          </cell>
        </row>
        <row r="181">
          <cell r="A181" t="str">
            <v>20000249</v>
          </cell>
          <cell r="B181" t="str">
            <v>윤상준</v>
          </cell>
          <cell r="C181" t="str">
            <v>9404161030313</v>
          </cell>
          <cell r="D181" t="str">
            <v>남</v>
          </cell>
          <cell r="E181" t="str">
            <v>19940416</v>
          </cell>
          <cell r="F181" t="str">
            <v>33</v>
          </cell>
          <cell r="G181" t="str">
            <v>재직자</v>
          </cell>
          <cell r="H181" t="str">
            <v>판교</v>
          </cell>
          <cell r="I181"/>
          <cell r="J181"/>
          <cell r="K181" t="str">
            <v>기술사무</v>
          </cell>
          <cell r="L181" t="str">
            <v>ESD팀</v>
          </cell>
        </row>
        <row r="182">
          <cell r="A182" t="str">
            <v>20000251</v>
          </cell>
          <cell r="B182" t="str">
            <v>김관우</v>
          </cell>
          <cell r="C182" t="str">
            <v>9505021043120</v>
          </cell>
          <cell r="D182" t="str">
            <v>남</v>
          </cell>
          <cell r="E182" t="str">
            <v>19950502</v>
          </cell>
          <cell r="F182" t="str">
            <v>32</v>
          </cell>
          <cell r="G182" t="str">
            <v>재직자</v>
          </cell>
          <cell r="H182" t="str">
            <v>판교</v>
          </cell>
          <cell r="I182"/>
          <cell r="J182"/>
          <cell r="K182" t="str">
            <v>기술사무</v>
          </cell>
          <cell r="L182" t="str">
            <v>제품개발2파트</v>
          </cell>
        </row>
        <row r="183">
          <cell r="A183" t="str">
            <v>20000252</v>
          </cell>
          <cell r="B183" t="str">
            <v>이원조</v>
          </cell>
          <cell r="C183" t="str">
            <v>9803161275026</v>
          </cell>
          <cell r="D183" t="str">
            <v>남</v>
          </cell>
          <cell r="E183" t="str">
            <v>19980316</v>
          </cell>
          <cell r="F183" t="str">
            <v>29</v>
          </cell>
          <cell r="G183" t="str">
            <v>재직자</v>
          </cell>
          <cell r="H183" t="str">
            <v>판교</v>
          </cell>
          <cell r="I183"/>
          <cell r="J183"/>
          <cell r="K183" t="str">
            <v>기술사무</v>
          </cell>
          <cell r="L183" t="str">
            <v>Analog2파트</v>
          </cell>
        </row>
        <row r="184">
          <cell r="A184" t="str">
            <v>20000253</v>
          </cell>
          <cell r="B184" t="str">
            <v>LinWeiJian</v>
          </cell>
          <cell r="C184" t="str">
            <v>9912215555555</v>
          </cell>
          <cell r="D184" t="str">
            <v>남</v>
          </cell>
          <cell r="E184" t="str">
            <v>19991221</v>
          </cell>
          <cell r="F184" t="str">
            <v>28</v>
          </cell>
          <cell r="G184" t="str">
            <v>재직자</v>
          </cell>
          <cell r="H184" t="str">
            <v>중국</v>
          </cell>
          <cell r="I184" t="str">
            <v>심천</v>
          </cell>
          <cell r="J184" t="str">
            <v>현지직원</v>
          </cell>
          <cell r="K184" t="str">
            <v>기술사무</v>
          </cell>
          <cell r="L184" t="str">
            <v>심천지사</v>
          </cell>
        </row>
        <row r="185">
          <cell r="A185" t="str">
            <v>20000254</v>
          </cell>
          <cell r="B185" t="str">
            <v>신정우</v>
          </cell>
          <cell r="C185" t="str">
            <v>9010121076716</v>
          </cell>
          <cell r="D185" t="str">
            <v>남</v>
          </cell>
          <cell r="E185" t="str">
            <v>19901012</v>
          </cell>
          <cell r="F185" t="str">
            <v>37</v>
          </cell>
          <cell r="G185" t="str">
            <v>재직자</v>
          </cell>
          <cell r="H185" t="str">
            <v>판교</v>
          </cell>
          <cell r="I185"/>
          <cell r="J185"/>
          <cell r="K185" t="str">
            <v>기술사무</v>
          </cell>
          <cell r="L185" t="str">
            <v>2파트</v>
          </cell>
        </row>
        <row r="186">
          <cell r="A186" t="str">
            <v>20000255</v>
          </cell>
          <cell r="B186" t="str">
            <v>현필수</v>
          </cell>
          <cell r="C186" t="str">
            <v>8006201226212</v>
          </cell>
          <cell r="D186" t="str">
            <v>남</v>
          </cell>
          <cell r="E186" t="str">
            <v>19800620</v>
          </cell>
          <cell r="F186" t="str">
            <v>47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2파트</v>
          </cell>
        </row>
        <row r="187">
          <cell r="A187" t="str">
            <v>20000256</v>
          </cell>
          <cell r="B187" t="str">
            <v>안민영</v>
          </cell>
          <cell r="C187" t="str">
            <v>8009201167628</v>
          </cell>
          <cell r="D187" t="str">
            <v>남</v>
          </cell>
          <cell r="E187" t="str">
            <v>19800920</v>
          </cell>
          <cell r="F187" t="str">
            <v>47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2파트</v>
          </cell>
        </row>
        <row r="188">
          <cell r="A188" t="str">
            <v>20000257</v>
          </cell>
          <cell r="B188" t="str">
            <v>허영건</v>
          </cell>
          <cell r="C188" t="str">
            <v>7504261932213</v>
          </cell>
          <cell r="D188" t="str">
            <v>남</v>
          </cell>
          <cell r="E188" t="str">
            <v>19750426</v>
          </cell>
          <cell r="F188" t="str">
            <v>52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2파트</v>
          </cell>
        </row>
        <row r="189">
          <cell r="A189" t="str">
            <v>20000258</v>
          </cell>
          <cell r="B189" t="str">
            <v>황영승</v>
          </cell>
          <cell r="C189" t="str">
            <v>7501171674015</v>
          </cell>
          <cell r="D189" t="str">
            <v>남</v>
          </cell>
          <cell r="E189" t="str">
            <v>19750117</v>
          </cell>
          <cell r="F189" t="str">
            <v>52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2파트</v>
          </cell>
        </row>
        <row r="190">
          <cell r="A190" t="str">
            <v>20000259</v>
          </cell>
          <cell r="B190" t="str">
            <v>이지용</v>
          </cell>
          <cell r="C190" t="str">
            <v>8703081846011</v>
          </cell>
          <cell r="D190" t="str">
            <v>남</v>
          </cell>
          <cell r="E190" t="str">
            <v>19870308</v>
          </cell>
          <cell r="F190" t="str">
            <v>40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기술사무</v>
          </cell>
          <cell r="L190" t="str">
            <v>Logic파트</v>
          </cell>
        </row>
        <row r="191">
          <cell r="A191" t="str">
            <v>20000260</v>
          </cell>
          <cell r="B191" t="str">
            <v>조성훈</v>
          </cell>
          <cell r="C191" t="str">
            <v>8612061037611</v>
          </cell>
          <cell r="D191" t="str">
            <v>남</v>
          </cell>
          <cell r="E191" t="str">
            <v>19861206</v>
          </cell>
          <cell r="F191" t="str">
            <v>41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기술사무</v>
          </cell>
          <cell r="L191" t="str">
            <v>Analog1파트</v>
          </cell>
        </row>
        <row r="192">
          <cell r="A192" t="str">
            <v>20000261</v>
          </cell>
          <cell r="B192" t="str">
            <v>이영진</v>
          </cell>
          <cell r="C192" t="str">
            <v>7707181822313</v>
          </cell>
          <cell r="D192" t="str">
            <v>남</v>
          </cell>
          <cell r="E192" t="str">
            <v>19770718</v>
          </cell>
          <cell r="F192" t="str">
            <v>50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2파트</v>
          </cell>
        </row>
        <row r="193">
          <cell r="A193" t="str">
            <v>20000262</v>
          </cell>
          <cell r="B193" t="str">
            <v>김도원</v>
          </cell>
          <cell r="C193" t="str">
            <v>9411091268615</v>
          </cell>
          <cell r="D193" t="str">
            <v>남</v>
          </cell>
          <cell r="E193" t="str">
            <v>19941109</v>
          </cell>
          <cell r="F193" t="str">
            <v>33</v>
          </cell>
          <cell r="G193" t="str">
            <v>재직자</v>
          </cell>
          <cell r="H193" t="str">
            <v>판교</v>
          </cell>
          <cell r="I193"/>
          <cell r="J193"/>
          <cell r="K193" t="str">
            <v>기술사무</v>
          </cell>
          <cell r="L193" t="str">
            <v>Analog1파트</v>
          </cell>
        </row>
        <row r="194">
          <cell r="A194" t="str">
            <v>20000264</v>
          </cell>
          <cell r="B194" t="str">
            <v>황대욱</v>
          </cell>
          <cell r="C194" t="str">
            <v>7602181090114</v>
          </cell>
          <cell r="D194" t="str">
            <v>남</v>
          </cell>
          <cell r="E194" t="str">
            <v>19760218</v>
          </cell>
          <cell r="F194" t="str">
            <v>51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DDI마케팅파트</v>
          </cell>
        </row>
        <row r="195">
          <cell r="A195" t="str">
            <v>20000265</v>
          </cell>
          <cell r="B195" t="str">
            <v>정문규</v>
          </cell>
          <cell r="C195" t="str">
            <v>8503221823315</v>
          </cell>
          <cell r="D195" t="str">
            <v>남</v>
          </cell>
          <cell r="E195" t="str">
            <v>19850322</v>
          </cell>
          <cell r="F195" t="str">
            <v>42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Logic파트</v>
          </cell>
        </row>
        <row r="196">
          <cell r="A196" t="str">
            <v>20000266</v>
          </cell>
          <cell r="B196" t="str">
            <v>배명성</v>
          </cell>
          <cell r="C196" t="str">
            <v>7605101919417</v>
          </cell>
          <cell r="D196" t="str">
            <v>남</v>
          </cell>
          <cell r="E196" t="str">
            <v>19760510</v>
          </cell>
          <cell r="F196" t="str">
            <v>51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2파트</v>
          </cell>
        </row>
        <row r="197">
          <cell r="A197" t="str">
            <v>20000267</v>
          </cell>
          <cell r="B197" t="str">
            <v>이용훈</v>
          </cell>
          <cell r="C197" t="str">
            <v>7805171449524</v>
          </cell>
          <cell r="D197" t="str">
            <v>남</v>
          </cell>
          <cell r="E197" t="str">
            <v>19780517</v>
          </cell>
          <cell r="F197" t="str">
            <v>49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2파트</v>
          </cell>
        </row>
        <row r="198">
          <cell r="A198" t="str">
            <v>20000268</v>
          </cell>
          <cell r="B198" t="str">
            <v>안광휘</v>
          </cell>
          <cell r="C198" t="str">
            <v>9205061101411</v>
          </cell>
          <cell r="D198" t="str">
            <v>남</v>
          </cell>
          <cell r="E198" t="str">
            <v>19920506</v>
          </cell>
          <cell r="F198" t="str">
            <v>35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재무관리팀</v>
          </cell>
        </row>
        <row r="199">
          <cell r="A199" t="str">
            <v>20000269</v>
          </cell>
          <cell r="B199" t="str">
            <v>백민호</v>
          </cell>
          <cell r="C199" t="str">
            <v>6803091055813</v>
          </cell>
          <cell r="D199" t="str">
            <v>남</v>
          </cell>
          <cell r="E199" t="str">
            <v>19680309</v>
          </cell>
          <cell r="F199" t="str">
            <v>59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임원</v>
          </cell>
          <cell r="L199" t="str">
            <v>경영지원실</v>
          </cell>
        </row>
        <row r="200">
          <cell r="A200" t="str">
            <v>20000270</v>
          </cell>
          <cell r="B200" t="str">
            <v>강정호</v>
          </cell>
          <cell r="C200" t="str">
            <v>6905161653031</v>
          </cell>
          <cell r="D200" t="str">
            <v>남</v>
          </cell>
          <cell r="E200" t="str">
            <v>19690325</v>
          </cell>
          <cell r="F200" t="str">
            <v>58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계약</v>
          </cell>
          <cell r="L200" t="str">
            <v>자문역</v>
          </cell>
        </row>
        <row r="201">
          <cell r="A201" t="str">
            <v>20000271</v>
          </cell>
          <cell r="B201" t="str">
            <v>김건우</v>
          </cell>
          <cell r="C201" t="str">
            <v>9704011684719</v>
          </cell>
          <cell r="D201" t="str">
            <v>남</v>
          </cell>
          <cell r="E201" t="str">
            <v>19970401</v>
          </cell>
          <cell r="F201" t="str">
            <v>30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Interface파트</v>
          </cell>
        </row>
        <row r="202">
          <cell r="A202" t="str">
            <v>20000272</v>
          </cell>
          <cell r="B202" t="str">
            <v>김효성</v>
          </cell>
          <cell r="C202" t="str">
            <v>9806141904114</v>
          </cell>
          <cell r="D202" t="str">
            <v>남</v>
          </cell>
          <cell r="E202" t="str">
            <v>19980614</v>
          </cell>
          <cell r="F202" t="str">
            <v>29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Analog1파트</v>
          </cell>
        </row>
        <row r="203">
          <cell r="A203" t="str">
            <v>20000273</v>
          </cell>
          <cell r="B203" t="str">
            <v>안태현</v>
          </cell>
          <cell r="C203" t="str">
            <v>9804111237116</v>
          </cell>
          <cell r="D203" t="str">
            <v>남</v>
          </cell>
          <cell r="E203" t="str">
            <v>19980411</v>
          </cell>
          <cell r="F203" t="str">
            <v>29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Digital IP파트</v>
          </cell>
        </row>
        <row r="204">
          <cell r="A204" t="str">
            <v>20000274</v>
          </cell>
          <cell r="B204" t="str">
            <v>김영희</v>
          </cell>
          <cell r="C204" t="str">
            <v>0007314125914</v>
          </cell>
          <cell r="D204" t="str">
            <v>여</v>
          </cell>
          <cell r="E204" t="str">
            <v>20000731</v>
          </cell>
          <cell r="F204" t="str">
            <v>27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2파트</v>
          </cell>
        </row>
        <row r="205">
          <cell r="A205" t="str">
            <v>20000275</v>
          </cell>
          <cell r="B205" t="str">
            <v>황준섭</v>
          </cell>
          <cell r="C205" t="str">
            <v>9505111703713</v>
          </cell>
          <cell r="D205" t="str">
            <v>남</v>
          </cell>
          <cell r="E205" t="str">
            <v>19950511</v>
          </cell>
          <cell r="F205" t="str">
            <v>32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Interface파트</v>
          </cell>
        </row>
        <row r="206">
          <cell r="A206" t="str">
            <v>20000276</v>
          </cell>
          <cell r="B206" t="str">
            <v>이한필</v>
          </cell>
          <cell r="C206" t="str">
            <v>9209031042911</v>
          </cell>
          <cell r="D206" t="str">
            <v>남</v>
          </cell>
          <cell r="E206" t="str">
            <v>19920903</v>
          </cell>
          <cell r="F206" t="str">
            <v>35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2파트</v>
          </cell>
        </row>
        <row r="207">
          <cell r="A207" t="str">
            <v>20000277</v>
          </cell>
          <cell r="B207" t="str">
            <v>XiongFeng</v>
          </cell>
          <cell r="C207" t="str">
            <v>9303181111111</v>
          </cell>
          <cell r="D207" t="str">
            <v>남</v>
          </cell>
          <cell r="E207" t="str">
            <v>19930318</v>
          </cell>
          <cell r="F207" t="str">
            <v>34</v>
          </cell>
          <cell r="G207" t="str">
            <v>재직자</v>
          </cell>
          <cell r="H207" t="str">
            <v>중국</v>
          </cell>
          <cell r="I207" t="str">
            <v>심천</v>
          </cell>
          <cell r="J207" t="str">
            <v>현지직원</v>
          </cell>
          <cell r="K207" t="str">
            <v>기술사무</v>
          </cell>
          <cell r="L207" t="str">
            <v>심천지사</v>
          </cell>
        </row>
        <row r="208">
          <cell r="A208" t="str">
            <v>20000278</v>
          </cell>
          <cell r="B208" t="str">
            <v>강찬효</v>
          </cell>
          <cell r="C208" t="str">
            <v>9911111059111</v>
          </cell>
          <cell r="D208" t="str">
            <v>남</v>
          </cell>
          <cell r="E208" t="str">
            <v>19991111</v>
          </cell>
          <cell r="F208" t="str">
            <v>28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기술사무</v>
          </cell>
          <cell r="L208" t="str">
            <v>Layout팀</v>
          </cell>
        </row>
        <row r="209">
          <cell r="A209" t="str">
            <v>20000280</v>
          </cell>
          <cell r="B209" t="str">
            <v>강다영</v>
          </cell>
          <cell r="C209" t="str">
            <v>9907132933113</v>
          </cell>
          <cell r="D209" t="str">
            <v>여</v>
          </cell>
          <cell r="E209" t="str">
            <v>19990713</v>
          </cell>
          <cell r="F209" t="str">
            <v>28</v>
          </cell>
          <cell r="G209" t="str">
            <v>재직자</v>
          </cell>
          <cell r="H209" t="str">
            <v>판교</v>
          </cell>
          <cell r="I209"/>
          <cell r="J209"/>
          <cell r="K209" t="str">
            <v>기술사무</v>
          </cell>
          <cell r="L209" t="str">
            <v>Test팀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44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SCM팀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46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SCM팀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48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20000004</v>
          </cell>
          <cell r="B5" t="str">
            <v>강정호</v>
          </cell>
          <cell r="C5" t="str">
            <v>6905161653031</v>
          </cell>
          <cell r="D5" t="str">
            <v>남</v>
          </cell>
          <cell r="E5" t="str">
            <v>19690325</v>
          </cell>
          <cell r="F5" t="str">
            <v>57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기술지원담당</v>
          </cell>
        </row>
        <row r="6">
          <cell r="A6" t="str">
            <v>20000005</v>
          </cell>
          <cell r="B6" t="str">
            <v>최정민</v>
          </cell>
          <cell r="C6" t="str">
            <v>7401261337311</v>
          </cell>
          <cell r="D6" t="str">
            <v>남</v>
          </cell>
          <cell r="E6" t="str">
            <v>19740126</v>
          </cell>
          <cell r="F6" t="str">
            <v>52</v>
          </cell>
          <cell r="G6" t="str">
            <v>재직자</v>
          </cell>
          <cell r="H6" t="str">
            <v>판교</v>
          </cell>
          <cell r="I6"/>
          <cell r="J6"/>
          <cell r="K6" t="str">
            <v>임원</v>
          </cell>
          <cell r="L6" t="str">
            <v>SCM팀</v>
          </cell>
        </row>
        <row r="7">
          <cell r="A7" t="str">
            <v>20000006</v>
          </cell>
          <cell r="B7" t="str">
            <v>박태용</v>
          </cell>
          <cell r="C7" t="str">
            <v>8012011042717</v>
          </cell>
          <cell r="D7" t="str">
            <v>남</v>
          </cell>
          <cell r="E7" t="str">
            <v>19801201</v>
          </cell>
          <cell r="F7" t="str">
            <v>46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품질팀</v>
          </cell>
        </row>
        <row r="8">
          <cell r="A8" t="str">
            <v>20000007</v>
          </cell>
          <cell r="B8" t="str">
            <v>이도훈</v>
          </cell>
          <cell r="C8" t="str">
            <v>7902221224120</v>
          </cell>
          <cell r="D8" t="str">
            <v>남</v>
          </cell>
          <cell r="E8" t="str">
            <v>19790222</v>
          </cell>
          <cell r="F8" t="str">
            <v>47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Test팀</v>
          </cell>
        </row>
        <row r="9">
          <cell r="A9" t="str">
            <v>20000008</v>
          </cell>
          <cell r="B9" t="str">
            <v>소순만</v>
          </cell>
          <cell r="C9" t="str">
            <v>7506081531218</v>
          </cell>
          <cell r="D9" t="str">
            <v>남</v>
          </cell>
          <cell r="E9" t="str">
            <v>19750108</v>
          </cell>
          <cell r="F9" t="str">
            <v>51</v>
          </cell>
          <cell r="G9" t="str">
            <v>재직자</v>
          </cell>
          <cell r="H9" t="str">
            <v>판교</v>
          </cell>
          <cell r="I9"/>
          <cell r="J9"/>
          <cell r="K9" t="str">
            <v>기술사무</v>
          </cell>
          <cell r="L9" t="str">
            <v>제품기술팀</v>
          </cell>
        </row>
        <row r="10">
          <cell r="A10" t="str">
            <v>20000009</v>
          </cell>
          <cell r="B10" t="str">
            <v>이돈수</v>
          </cell>
          <cell r="C10" t="str">
            <v>7611051252115</v>
          </cell>
          <cell r="D10" t="str">
            <v>남</v>
          </cell>
          <cell r="E10" t="str">
            <v>19761105</v>
          </cell>
          <cell r="F10" t="str">
            <v>50</v>
          </cell>
          <cell r="G10" t="str">
            <v>퇴직자</v>
          </cell>
          <cell r="H10" t="str">
            <v>판교</v>
          </cell>
          <cell r="I10"/>
          <cell r="J10"/>
          <cell r="K10" t="str">
            <v>기술사무</v>
          </cell>
          <cell r="L10" t="str">
            <v>Test팀</v>
          </cell>
        </row>
        <row r="11">
          <cell r="A11" t="str">
            <v>20000010</v>
          </cell>
          <cell r="B11" t="str">
            <v>권유석</v>
          </cell>
          <cell r="C11" t="str">
            <v>7507051068711</v>
          </cell>
          <cell r="D11" t="str">
            <v>남</v>
          </cell>
          <cell r="E11" t="str">
            <v>19750705</v>
          </cell>
          <cell r="F11" t="str">
            <v>51</v>
          </cell>
          <cell r="G11" t="str">
            <v>재직자</v>
          </cell>
          <cell r="H11" t="str">
            <v>중국</v>
          </cell>
          <cell r="I11" t="str">
            <v>심천</v>
          </cell>
          <cell r="J11"/>
          <cell r="K11" t="str">
            <v>기술사무</v>
          </cell>
          <cell r="L11" t="str">
            <v>영업팀</v>
          </cell>
        </row>
        <row r="12">
          <cell r="A12" t="str">
            <v>20000011</v>
          </cell>
          <cell r="B12" t="str">
            <v>박강필</v>
          </cell>
          <cell r="C12" t="str">
            <v>7911281637114</v>
          </cell>
          <cell r="D12" t="str">
            <v>남</v>
          </cell>
          <cell r="E12" t="str">
            <v>19791128</v>
          </cell>
          <cell r="F12" t="str">
            <v>47</v>
          </cell>
          <cell r="G12" t="str">
            <v>퇴직자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DDI설계1팀</v>
          </cell>
        </row>
        <row r="13">
          <cell r="A13" t="str">
            <v>20000012</v>
          </cell>
          <cell r="B13" t="str">
            <v>장석태</v>
          </cell>
          <cell r="C13" t="str">
            <v>7606131069028</v>
          </cell>
          <cell r="D13" t="str">
            <v>남</v>
          </cell>
          <cell r="E13" t="str">
            <v>19760613</v>
          </cell>
          <cell r="F13" t="str">
            <v>50</v>
          </cell>
          <cell r="G13" t="str">
            <v>퇴직자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피플팀</v>
          </cell>
        </row>
        <row r="14">
          <cell r="A14" t="str">
            <v>20000013</v>
          </cell>
          <cell r="B14" t="str">
            <v>주양중</v>
          </cell>
          <cell r="C14" t="str">
            <v>7311301332915</v>
          </cell>
          <cell r="D14" t="str">
            <v>남</v>
          </cell>
          <cell r="E14" t="str">
            <v>19731130</v>
          </cell>
          <cell r="F14" t="str">
            <v>53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IT파트</v>
          </cell>
        </row>
        <row r="15">
          <cell r="A15" t="str">
            <v>20000014</v>
          </cell>
          <cell r="B15" t="str">
            <v>허세화</v>
          </cell>
          <cell r="C15" t="str">
            <v>7910272182914</v>
          </cell>
          <cell r="D15" t="str">
            <v>여</v>
          </cell>
          <cell r="E15" t="str">
            <v>19791027</v>
          </cell>
          <cell r="F15" t="str">
            <v>47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SCM팀</v>
          </cell>
        </row>
        <row r="16">
          <cell r="A16" t="str">
            <v>20000015</v>
          </cell>
          <cell r="B16" t="str">
            <v>성은주</v>
          </cell>
          <cell r="C16" t="str">
            <v>7405222380611</v>
          </cell>
          <cell r="D16" t="str">
            <v>여</v>
          </cell>
          <cell r="E16" t="str">
            <v>19740711</v>
          </cell>
          <cell r="F16" t="str">
            <v>52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기술사무</v>
          </cell>
          <cell r="L16" t="str">
            <v>SCM팀</v>
          </cell>
        </row>
        <row r="17">
          <cell r="A17" t="str">
            <v>20000016</v>
          </cell>
          <cell r="B17" t="str">
            <v>안주희</v>
          </cell>
          <cell r="C17" t="str">
            <v>8004302074414</v>
          </cell>
          <cell r="D17" t="str">
            <v>여</v>
          </cell>
          <cell r="E17" t="str">
            <v>19800430</v>
          </cell>
          <cell r="F17" t="str">
            <v>46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기술사무</v>
          </cell>
          <cell r="L17" t="str">
            <v>SCM팀</v>
          </cell>
        </row>
        <row r="18">
          <cell r="A18" t="str">
            <v>20000017</v>
          </cell>
          <cell r="B18" t="str">
            <v>김현일</v>
          </cell>
          <cell r="C18" t="str">
            <v>7411251079839</v>
          </cell>
          <cell r="D18" t="str">
            <v>남</v>
          </cell>
          <cell r="E18" t="str">
            <v>19741125</v>
          </cell>
          <cell r="F18" t="str">
            <v>52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SCM팀</v>
          </cell>
        </row>
        <row r="19">
          <cell r="A19" t="str">
            <v>20000018</v>
          </cell>
          <cell r="B19" t="str">
            <v>박유배</v>
          </cell>
          <cell r="C19" t="str">
            <v>6708151457516</v>
          </cell>
          <cell r="D19" t="str">
            <v>남</v>
          </cell>
          <cell r="E19" t="str">
            <v>19670815</v>
          </cell>
          <cell r="F19" t="str">
            <v>59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제품기술팀</v>
          </cell>
        </row>
        <row r="20">
          <cell r="A20" t="str">
            <v>20000019</v>
          </cell>
          <cell r="B20" t="str">
            <v>박정태</v>
          </cell>
          <cell r="C20" t="str">
            <v>7301151094121</v>
          </cell>
          <cell r="D20" t="str">
            <v>남</v>
          </cell>
          <cell r="E20" t="str">
            <v>19730115</v>
          </cell>
          <cell r="F20" t="str">
            <v>53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임원</v>
          </cell>
          <cell r="L20" t="str">
            <v>제품개발담당</v>
          </cell>
        </row>
        <row r="21">
          <cell r="A21" t="str">
            <v>20000020</v>
          </cell>
          <cell r="B21" t="str">
            <v>김산홍</v>
          </cell>
          <cell r="C21" t="str">
            <v>6809191683715</v>
          </cell>
          <cell r="D21" t="str">
            <v>남</v>
          </cell>
          <cell r="E21" t="str">
            <v>19680919</v>
          </cell>
          <cell r="F21" t="str">
            <v>58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제품기술팀</v>
          </cell>
        </row>
        <row r="22">
          <cell r="A22" t="str">
            <v>20000021</v>
          </cell>
          <cell r="B22" t="str">
            <v>성재웅</v>
          </cell>
          <cell r="C22" t="str">
            <v>7209261890713</v>
          </cell>
          <cell r="D22" t="str">
            <v>남</v>
          </cell>
          <cell r="E22" t="str">
            <v>19720926</v>
          </cell>
          <cell r="F22" t="str">
            <v>54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품질팀</v>
          </cell>
        </row>
        <row r="23">
          <cell r="A23" t="str">
            <v>20000022</v>
          </cell>
          <cell r="B23" t="str">
            <v>여승진</v>
          </cell>
          <cell r="C23" t="str">
            <v>8211131157025</v>
          </cell>
          <cell r="D23" t="str">
            <v>남</v>
          </cell>
          <cell r="E23" t="str">
            <v>19821113</v>
          </cell>
          <cell r="F23" t="str">
            <v>44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DDI설계1팀</v>
          </cell>
        </row>
        <row r="24">
          <cell r="A24" t="str">
            <v>20000023</v>
          </cell>
          <cell r="B24" t="str">
            <v>박준영</v>
          </cell>
          <cell r="C24" t="str">
            <v>8202241906419</v>
          </cell>
          <cell r="D24" t="str">
            <v>남</v>
          </cell>
          <cell r="E24" t="str">
            <v>19820224</v>
          </cell>
          <cell r="F24" t="str">
            <v>44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Test팀</v>
          </cell>
        </row>
        <row r="25">
          <cell r="A25" t="str">
            <v>20000024</v>
          </cell>
          <cell r="B25" t="str">
            <v>김기일</v>
          </cell>
          <cell r="C25" t="str">
            <v>8307081183717</v>
          </cell>
          <cell r="D25" t="str">
            <v>남</v>
          </cell>
          <cell r="E25" t="str">
            <v>19830708</v>
          </cell>
          <cell r="F25" t="str">
            <v>43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DDI설계2팀</v>
          </cell>
        </row>
        <row r="26">
          <cell r="A26" t="str">
            <v>20000025</v>
          </cell>
          <cell r="B26" t="str">
            <v>김희진</v>
          </cell>
          <cell r="C26" t="str">
            <v>7901281120515</v>
          </cell>
          <cell r="D26" t="str">
            <v>남</v>
          </cell>
          <cell r="E26" t="str">
            <v>19790128</v>
          </cell>
          <cell r="F26" t="str">
            <v>47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품질팀</v>
          </cell>
        </row>
        <row r="27">
          <cell r="A27" t="str">
            <v>20000026</v>
          </cell>
          <cell r="B27" t="str">
            <v>이호섭</v>
          </cell>
          <cell r="C27" t="str">
            <v>8401051075619</v>
          </cell>
          <cell r="D27" t="str">
            <v>남</v>
          </cell>
          <cell r="E27" t="str">
            <v>19840105</v>
          </cell>
          <cell r="F27" t="str">
            <v>42</v>
          </cell>
          <cell r="G27" t="str">
            <v>퇴직자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SCM팀</v>
          </cell>
        </row>
        <row r="28">
          <cell r="A28" t="str">
            <v>20000027</v>
          </cell>
          <cell r="B28" t="str">
            <v>차승현</v>
          </cell>
          <cell r="C28" t="str">
            <v>8607121183017</v>
          </cell>
          <cell r="D28" t="str">
            <v>남</v>
          </cell>
          <cell r="E28" t="str">
            <v>19860712</v>
          </cell>
          <cell r="F28" t="str">
            <v>40</v>
          </cell>
          <cell r="G28" t="str">
            <v>재직자</v>
          </cell>
          <cell r="H28" t="str">
            <v>판교</v>
          </cell>
          <cell r="I28"/>
          <cell r="J28"/>
          <cell r="K28" t="str">
            <v>기술사무</v>
          </cell>
          <cell r="L28" t="str">
            <v>SCM팀</v>
          </cell>
        </row>
        <row r="29">
          <cell r="A29" t="str">
            <v>20000028</v>
          </cell>
          <cell r="B29" t="str">
            <v>백승호</v>
          </cell>
          <cell r="C29" t="str">
            <v>8205071074211</v>
          </cell>
          <cell r="D29" t="str">
            <v>남</v>
          </cell>
          <cell r="E29" t="str">
            <v>19820507</v>
          </cell>
          <cell r="F29" t="str">
            <v>44</v>
          </cell>
          <cell r="G29" t="str">
            <v>퇴직자</v>
          </cell>
          <cell r="H29" t="str">
            <v>판교</v>
          </cell>
          <cell r="I29"/>
          <cell r="J29"/>
          <cell r="K29" t="str">
            <v>기술사무</v>
          </cell>
          <cell r="L29" t="str">
            <v>DDI설계2팀</v>
          </cell>
        </row>
        <row r="30">
          <cell r="A30" t="str">
            <v>20000029</v>
          </cell>
          <cell r="B30" t="str">
            <v>노상훈</v>
          </cell>
          <cell r="C30" t="str">
            <v>7203051093122</v>
          </cell>
          <cell r="D30" t="str">
            <v>남</v>
          </cell>
          <cell r="E30" t="str">
            <v>19720305</v>
          </cell>
          <cell r="F30" t="str">
            <v>54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제품기술팀</v>
          </cell>
        </row>
        <row r="31">
          <cell r="A31" t="str">
            <v>20000030</v>
          </cell>
          <cell r="B31" t="str">
            <v>장승원</v>
          </cell>
          <cell r="C31" t="str">
            <v>7712011654211</v>
          </cell>
          <cell r="D31" t="str">
            <v>남</v>
          </cell>
          <cell r="E31" t="str">
            <v>19771201</v>
          </cell>
          <cell r="F31" t="str">
            <v>49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재무관리팀</v>
          </cell>
        </row>
        <row r="32">
          <cell r="A32" t="str">
            <v>20000031</v>
          </cell>
          <cell r="B32" t="str">
            <v>오지인</v>
          </cell>
          <cell r="C32" t="str">
            <v>9003202026117</v>
          </cell>
          <cell r="D32" t="str">
            <v>여</v>
          </cell>
          <cell r="E32" t="str">
            <v>19900320</v>
          </cell>
          <cell r="F32" t="str">
            <v>36</v>
          </cell>
          <cell r="G32" t="str">
            <v>퇴직자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SCM팀</v>
          </cell>
        </row>
        <row r="33">
          <cell r="A33" t="str">
            <v>20000032</v>
          </cell>
          <cell r="B33" t="str">
            <v>노정호</v>
          </cell>
          <cell r="C33" t="str">
            <v>8510281011918</v>
          </cell>
          <cell r="D33" t="str">
            <v>남</v>
          </cell>
          <cell r="E33" t="str">
            <v>19851028</v>
          </cell>
          <cell r="F33" t="str">
            <v>41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SCM팀</v>
          </cell>
        </row>
        <row r="34">
          <cell r="A34" t="str">
            <v>20000033</v>
          </cell>
          <cell r="B34" t="str">
            <v>강완규</v>
          </cell>
          <cell r="C34" t="str">
            <v>7502021025216</v>
          </cell>
          <cell r="D34" t="str">
            <v>남</v>
          </cell>
          <cell r="E34" t="str">
            <v>19741222</v>
          </cell>
          <cell r="F34" t="str">
            <v>52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품질팀</v>
          </cell>
        </row>
        <row r="35">
          <cell r="A35" t="str">
            <v>20000034</v>
          </cell>
          <cell r="B35" t="str">
            <v>김덕준</v>
          </cell>
          <cell r="C35" t="str">
            <v>7701281814910</v>
          </cell>
          <cell r="D35" t="str">
            <v>남</v>
          </cell>
          <cell r="E35" t="str">
            <v>19770128</v>
          </cell>
          <cell r="F35" t="str">
            <v>49</v>
          </cell>
          <cell r="G35" t="str">
            <v>재직자</v>
          </cell>
          <cell r="H35" t="str">
            <v>상우</v>
          </cell>
          <cell r="I35"/>
          <cell r="J35"/>
          <cell r="K35" t="str">
            <v>기술사무</v>
          </cell>
          <cell r="L35" t="str">
            <v>Test팀</v>
          </cell>
        </row>
        <row r="36">
          <cell r="A36" t="str">
            <v>20000035</v>
          </cell>
          <cell r="B36" t="str">
            <v>이진아</v>
          </cell>
          <cell r="C36" t="str">
            <v>8507192156912</v>
          </cell>
          <cell r="D36" t="str">
            <v>여</v>
          </cell>
          <cell r="E36" t="str">
            <v>19850719</v>
          </cell>
          <cell r="F36" t="str">
            <v>41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DDI설계2팀</v>
          </cell>
        </row>
        <row r="37">
          <cell r="A37" t="str">
            <v>20000036</v>
          </cell>
          <cell r="B37" t="str">
            <v>박영건</v>
          </cell>
          <cell r="C37" t="str">
            <v>8604191360513</v>
          </cell>
          <cell r="D37" t="str">
            <v>남</v>
          </cell>
          <cell r="E37" t="str">
            <v>19860419</v>
          </cell>
          <cell r="F37" t="str">
            <v>40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품질팀</v>
          </cell>
        </row>
        <row r="38">
          <cell r="A38" t="str">
            <v>20000037</v>
          </cell>
          <cell r="B38" t="str">
            <v>김문규</v>
          </cell>
          <cell r="C38" t="str">
            <v>8512131775511</v>
          </cell>
          <cell r="D38" t="str">
            <v>남</v>
          </cell>
          <cell r="E38" t="str">
            <v>19851213</v>
          </cell>
          <cell r="F38" t="str">
            <v>41</v>
          </cell>
          <cell r="G38" t="str">
            <v>퇴직자</v>
          </cell>
          <cell r="H38" t="str">
            <v>부천</v>
          </cell>
          <cell r="I38"/>
          <cell r="J38"/>
          <cell r="K38" t="str">
            <v>기술사무</v>
          </cell>
          <cell r="L38" t="str">
            <v>DDI설계2팀</v>
          </cell>
        </row>
        <row r="39">
          <cell r="A39" t="str">
            <v>20000038</v>
          </cell>
          <cell r="B39" t="str">
            <v>김민선</v>
          </cell>
          <cell r="C39" t="str">
            <v>8604222085213</v>
          </cell>
          <cell r="D39" t="str">
            <v>여</v>
          </cell>
          <cell r="E39" t="str">
            <v>19860422</v>
          </cell>
          <cell r="F39" t="str">
            <v>40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품질팀</v>
          </cell>
        </row>
        <row r="40">
          <cell r="A40" t="str">
            <v>20000039</v>
          </cell>
          <cell r="B40" t="str">
            <v>이상훈</v>
          </cell>
          <cell r="C40" t="str">
            <v>8812211023528</v>
          </cell>
          <cell r="D40" t="str">
            <v>남</v>
          </cell>
          <cell r="E40" t="str">
            <v>19881221</v>
          </cell>
          <cell r="F40" t="str">
            <v>38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DDI설계1팀</v>
          </cell>
        </row>
        <row r="41">
          <cell r="A41" t="str">
            <v>20000040</v>
          </cell>
          <cell r="B41" t="str">
            <v>조영아</v>
          </cell>
          <cell r="C41" t="str">
            <v>7312092802618</v>
          </cell>
          <cell r="D41" t="str">
            <v>여</v>
          </cell>
          <cell r="E41" t="str">
            <v>19731209</v>
          </cell>
          <cell r="F41" t="str">
            <v>53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DDI마케팅파트</v>
          </cell>
        </row>
        <row r="42">
          <cell r="A42" t="str">
            <v>20000041</v>
          </cell>
          <cell r="B42" t="str">
            <v>이승용</v>
          </cell>
          <cell r="C42" t="str">
            <v>8603311800021</v>
          </cell>
          <cell r="D42" t="str">
            <v>남</v>
          </cell>
          <cell r="E42" t="str">
            <v>19860331</v>
          </cell>
          <cell r="F42" t="str">
            <v>40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DDI설계1팀</v>
          </cell>
        </row>
        <row r="43">
          <cell r="A43" t="str">
            <v>20000042</v>
          </cell>
          <cell r="B43" t="str">
            <v>신순연</v>
          </cell>
          <cell r="C43" t="str">
            <v>8606016760171</v>
          </cell>
          <cell r="D43" t="str">
            <v>여</v>
          </cell>
          <cell r="E43" t="str">
            <v>1986.06.</v>
          </cell>
          <cell r="F43" t="str">
            <v>40</v>
          </cell>
          <cell r="G43" t="str">
            <v>재직자</v>
          </cell>
          <cell r="H43" t="str">
            <v>중국</v>
          </cell>
          <cell r="I43" t="str">
            <v>심천</v>
          </cell>
          <cell r="J43"/>
          <cell r="K43" t="str">
            <v>기술사무</v>
          </cell>
          <cell r="L43" t="str">
            <v>영업팀</v>
          </cell>
        </row>
        <row r="44">
          <cell r="A44" t="str">
            <v>20000043</v>
          </cell>
          <cell r="B44" t="str">
            <v>정연호</v>
          </cell>
          <cell r="C44" t="str">
            <v>8603221743211</v>
          </cell>
          <cell r="D44" t="str">
            <v>남</v>
          </cell>
          <cell r="E44" t="str">
            <v>19860322</v>
          </cell>
          <cell r="F44" t="str">
            <v>40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기술사무</v>
          </cell>
          <cell r="L44" t="str">
            <v>DDI설계1팀</v>
          </cell>
        </row>
        <row r="45">
          <cell r="A45" t="str">
            <v>20000044</v>
          </cell>
          <cell r="B45" t="str">
            <v>허예진</v>
          </cell>
          <cell r="C45" t="str">
            <v>8903212151123</v>
          </cell>
          <cell r="D45" t="str">
            <v>여</v>
          </cell>
          <cell r="E45" t="str">
            <v>19890321</v>
          </cell>
          <cell r="F45" t="str">
            <v>37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피플팀</v>
          </cell>
        </row>
        <row r="46">
          <cell r="A46" t="str">
            <v>20000045</v>
          </cell>
          <cell r="B46" t="str">
            <v>임채열</v>
          </cell>
          <cell r="C46" t="str">
            <v>8604081148812</v>
          </cell>
          <cell r="D46" t="str">
            <v>남</v>
          </cell>
          <cell r="E46" t="str">
            <v>19860408</v>
          </cell>
          <cell r="F46" t="str">
            <v>40</v>
          </cell>
          <cell r="G46" t="str">
            <v>퇴직자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DDI설계2팀</v>
          </cell>
        </row>
        <row r="47">
          <cell r="A47" t="str">
            <v>20000046</v>
          </cell>
          <cell r="B47" t="str">
            <v>박도우</v>
          </cell>
          <cell r="C47" t="str">
            <v>8709271552333</v>
          </cell>
          <cell r="D47" t="str">
            <v>남</v>
          </cell>
          <cell r="E47" t="str">
            <v>19870927</v>
          </cell>
          <cell r="F47" t="str">
            <v>39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DDI설계1팀</v>
          </cell>
        </row>
        <row r="48">
          <cell r="A48" t="str">
            <v>20000047</v>
          </cell>
          <cell r="B48" t="str">
            <v>손선규</v>
          </cell>
          <cell r="C48" t="str">
            <v>7301231042325</v>
          </cell>
          <cell r="D48" t="str">
            <v>남</v>
          </cell>
          <cell r="E48" t="str">
            <v>19730123</v>
          </cell>
          <cell r="F48" t="str">
            <v>53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제품기술팀</v>
          </cell>
        </row>
        <row r="49">
          <cell r="A49" t="str">
            <v>20000048</v>
          </cell>
          <cell r="B49" t="str">
            <v>유상민</v>
          </cell>
          <cell r="C49" t="str">
            <v>7907141932537</v>
          </cell>
          <cell r="D49" t="str">
            <v>남</v>
          </cell>
          <cell r="E49" t="str">
            <v>19790714</v>
          </cell>
          <cell r="F49" t="str">
            <v>47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제품기술팀</v>
          </cell>
        </row>
        <row r="50">
          <cell r="A50" t="str">
            <v>20000049</v>
          </cell>
          <cell r="B50" t="str">
            <v>이선희</v>
          </cell>
          <cell r="C50" t="str">
            <v>8608042162724</v>
          </cell>
          <cell r="D50" t="str">
            <v>여</v>
          </cell>
          <cell r="E50" t="str">
            <v>19860804</v>
          </cell>
          <cell r="F50" t="str">
            <v>40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SCM팀</v>
          </cell>
        </row>
        <row r="51">
          <cell r="A51" t="str">
            <v>20000050</v>
          </cell>
          <cell r="B51" t="str">
            <v>김도연</v>
          </cell>
          <cell r="C51" t="str">
            <v>8712121064130</v>
          </cell>
          <cell r="D51" t="str">
            <v>남</v>
          </cell>
          <cell r="E51" t="str">
            <v>19871212</v>
          </cell>
          <cell r="F51" t="str">
            <v>39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DDI설계1팀</v>
          </cell>
        </row>
        <row r="52">
          <cell r="A52" t="str">
            <v>20000051</v>
          </cell>
          <cell r="B52" t="str">
            <v>이정수</v>
          </cell>
          <cell r="C52" t="str">
            <v>9306041042248</v>
          </cell>
          <cell r="D52" t="str">
            <v>남</v>
          </cell>
          <cell r="E52" t="str">
            <v>19930604</v>
          </cell>
          <cell r="F52" t="str">
            <v>33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Layout팀</v>
          </cell>
        </row>
        <row r="53">
          <cell r="A53" t="str">
            <v>20000052</v>
          </cell>
          <cell r="B53" t="str">
            <v>김영준</v>
          </cell>
          <cell r="C53" t="str">
            <v>9005221539015</v>
          </cell>
          <cell r="D53" t="str">
            <v>남</v>
          </cell>
          <cell r="E53" t="str">
            <v>19900522</v>
          </cell>
          <cell r="F53" t="str">
            <v>36</v>
          </cell>
          <cell r="G53" t="str">
            <v>퇴직자</v>
          </cell>
          <cell r="H53" t="str">
            <v>부천</v>
          </cell>
          <cell r="I53"/>
          <cell r="J53"/>
          <cell r="K53" t="str">
            <v>기술사무</v>
          </cell>
          <cell r="L53" t="str">
            <v>재무관리팀</v>
          </cell>
        </row>
        <row r="54">
          <cell r="A54" t="str">
            <v>20000053</v>
          </cell>
          <cell r="B54" t="str">
            <v>고재홍</v>
          </cell>
          <cell r="C54" t="str">
            <v>7603021221117</v>
          </cell>
          <cell r="D54" t="str">
            <v>남</v>
          </cell>
          <cell r="E54" t="str">
            <v>19760302</v>
          </cell>
          <cell r="F54" t="str">
            <v>50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임원</v>
          </cell>
          <cell r="L54" t="str">
            <v>DDI설계1팀</v>
          </cell>
        </row>
        <row r="55">
          <cell r="A55" t="str">
            <v>20000054</v>
          </cell>
          <cell r="B55" t="str">
            <v>조용탁</v>
          </cell>
          <cell r="C55" t="str">
            <v>9212161182910</v>
          </cell>
          <cell r="D55" t="str">
            <v>남</v>
          </cell>
          <cell r="E55" t="str">
            <v>19921216</v>
          </cell>
          <cell r="F55" t="str">
            <v>34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SCM팀</v>
          </cell>
        </row>
        <row r="56">
          <cell r="A56" t="str">
            <v>20000055</v>
          </cell>
          <cell r="B56" t="str">
            <v>조주현</v>
          </cell>
          <cell r="C56" t="str">
            <v>7708031042921</v>
          </cell>
          <cell r="D56" t="str">
            <v>남</v>
          </cell>
          <cell r="E56" t="str">
            <v>19770803</v>
          </cell>
          <cell r="F56" t="str">
            <v>49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제품기술팀</v>
          </cell>
        </row>
        <row r="57">
          <cell r="A57" t="str">
            <v>20000056</v>
          </cell>
          <cell r="B57" t="str">
            <v>박상현</v>
          </cell>
          <cell r="C57" t="str">
            <v>7909111055817</v>
          </cell>
          <cell r="D57" t="str">
            <v>남</v>
          </cell>
          <cell r="E57" t="str">
            <v>19790911</v>
          </cell>
          <cell r="F57" t="str">
            <v>47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DDI설계2팀</v>
          </cell>
        </row>
        <row r="58">
          <cell r="A58" t="str">
            <v>20000057</v>
          </cell>
          <cell r="B58" t="str">
            <v>김성욱</v>
          </cell>
          <cell r="C58" t="str">
            <v>7310171241819</v>
          </cell>
          <cell r="D58" t="str">
            <v>남</v>
          </cell>
          <cell r="E58" t="str">
            <v>19731017</v>
          </cell>
          <cell r="F58" t="str">
            <v>53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제품기술팀</v>
          </cell>
        </row>
        <row r="59">
          <cell r="A59" t="str">
            <v>20000058</v>
          </cell>
          <cell r="B59" t="str">
            <v>김봉성</v>
          </cell>
          <cell r="C59" t="str">
            <v>8812171095826</v>
          </cell>
          <cell r="D59" t="str">
            <v>남</v>
          </cell>
          <cell r="E59" t="str">
            <v>19881217</v>
          </cell>
          <cell r="F59" t="str">
            <v>38</v>
          </cell>
          <cell r="G59" t="str">
            <v>퇴직자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DDI설계2팀</v>
          </cell>
        </row>
        <row r="60">
          <cell r="A60" t="str">
            <v>20000059</v>
          </cell>
          <cell r="B60" t="str">
            <v>이동기</v>
          </cell>
          <cell r="C60" t="str">
            <v>8803131685615</v>
          </cell>
          <cell r="D60" t="str">
            <v>남</v>
          </cell>
          <cell r="E60" t="str">
            <v>19880313</v>
          </cell>
          <cell r="F60" t="str">
            <v>38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PMIC설계1팀</v>
          </cell>
        </row>
        <row r="61">
          <cell r="A61" t="str">
            <v>20000060</v>
          </cell>
          <cell r="B61" t="str">
            <v>권재학</v>
          </cell>
          <cell r="C61" t="str">
            <v>8202031001616</v>
          </cell>
          <cell r="D61" t="str">
            <v>남</v>
          </cell>
          <cell r="E61" t="str">
            <v>19820203</v>
          </cell>
          <cell r="F61" t="str">
            <v>44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품질팀</v>
          </cell>
        </row>
        <row r="62">
          <cell r="A62" t="str">
            <v>20000061</v>
          </cell>
          <cell r="B62" t="str">
            <v>김성준</v>
          </cell>
          <cell r="C62" t="str">
            <v>9008121891911</v>
          </cell>
          <cell r="D62" t="str">
            <v>남</v>
          </cell>
          <cell r="E62" t="str">
            <v>19900812</v>
          </cell>
          <cell r="F62" t="str">
            <v>36</v>
          </cell>
          <cell r="G62" t="str">
            <v>퇴직자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재무관리팀</v>
          </cell>
        </row>
        <row r="63">
          <cell r="A63" t="str">
            <v>20000062</v>
          </cell>
          <cell r="B63" t="str">
            <v>이종래</v>
          </cell>
          <cell r="C63" t="str">
            <v>8010131822214</v>
          </cell>
          <cell r="D63" t="str">
            <v>남</v>
          </cell>
          <cell r="E63" t="str">
            <v>19801013</v>
          </cell>
          <cell r="F63" t="str">
            <v>46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품질팀</v>
          </cell>
        </row>
        <row r="64">
          <cell r="A64" t="str">
            <v>20000063</v>
          </cell>
          <cell r="B64" t="str">
            <v>박성현</v>
          </cell>
          <cell r="C64" t="str">
            <v>9202101274215</v>
          </cell>
          <cell r="D64" t="str">
            <v>남</v>
          </cell>
          <cell r="E64" t="str">
            <v>19920210</v>
          </cell>
          <cell r="F64" t="str">
            <v>34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제품기술팀</v>
          </cell>
        </row>
        <row r="65">
          <cell r="A65" t="str">
            <v>20000064</v>
          </cell>
          <cell r="B65" t="str">
            <v>송시연</v>
          </cell>
          <cell r="C65" t="str">
            <v>9710281185610</v>
          </cell>
          <cell r="D65" t="str">
            <v>남</v>
          </cell>
          <cell r="E65" t="str">
            <v>19971028</v>
          </cell>
          <cell r="F65" t="str">
            <v>29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Layout팀</v>
          </cell>
        </row>
        <row r="66">
          <cell r="A66" t="str">
            <v>20000065</v>
          </cell>
          <cell r="B66" t="str">
            <v>황찬규</v>
          </cell>
          <cell r="C66" t="str">
            <v>9505111203415</v>
          </cell>
          <cell r="D66" t="str">
            <v>남</v>
          </cell>
          <cell r="E66" t="str">
            <v>19950511</v>
          </cell>
          <cell r="F66" t="str">
            <v>31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Layout팀</v>
          </cell>
        </row>
        <row r="67">
          <cell r="A67" t="str">
            <v>20000066</v>
          </cell>
          <cell r="B67" t="str">
            <v>김명관</v>
          </cell>
          <cell r="C67" t="str">
            <v>8005171480815</v>
          </cell>
          <cell r="D67" t="str">
            <v>남</v>
          </cell>
          <cell r="E67" t="str">
            <v>1980.05.</v>
          </cell>
          <cell r="F67" t="str">
            <v>46</v>
          </cell>
          <cell r="G67" t="str">
            <v>재직자</v>
          </cell>
          <cell r="H67" t="str">
            <v>중국</v>
          </cell>
          <cell r="I67" t="str">
            <v>심천</v>
          </cell>
          <cell r="J67"/>
          <cell r="K67" t="str">
            <v>기술사무</v>
          </cell>
          <cell r="L67" t="str">
            <v>영업팀</v>
          </cell>
        </row>
        <row r="68">
          <cell r="A68" t="str">
            <v>20000067</v>
          </cell>
          <cell r="B68" t="str">
            <v>최수임</v>
          </cell>
          <cell r="C68" t="str">
            <v>8405312274512</v>
          </cell>
          <cell r="D68" t="str">
            <v>여</v>
          </cell>
          <cell r="E68" t="str">
            <v>19840531</v>
          </cell>
          <cell r="F68" t="str">
            <v>42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영업팀</v>
          </cell>
        </row>
        <row r="69">
          <cell r="A69" t="str">
            <v>20000068</v>
          </cell>
          <cell r="B69" t="str">
            <v>반기환</v>
          </cell>
          <cell r="C69" t="str">
            <v>8702011685829</v>
          </cell>
          <cell r="D69" t="str">
            <v>남</v>
          </cell>
          <cell r="E69" t="str">
            <v>19870201</v>
          </cell>
          <cell r="F69" t="str">
            <v>39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Test팀</v>
          </cell>
        </row>
        <row r="70">
          <cell r="A70" t="str">
            <v>20000069</v>
          </cell>
          <cell r="B70" t="str">
            <v>박용준</v>
          </cell>
          <cell r="C70" t="str">
            <v>8705161350613</v>
          </cell>
          <cell r="D70" t="str">
            <v>남</v>
          </cell>
          <cell r="E70" t="str">
            <v>19870516</v>
          </cell>
          <cell r="F70" t="str">
            <v>39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품질팀</v>
          </cell>
        </row>
        <row r="71">
          <cell r="A71" t="str">
            <v>20000070</v>
          </cell>
          <cell r="B71" t="str">
            <v>이포</v>
          </cell>
          <cell r="C71" t="str">
            <v>8011211247112</v>
          </cell>
          <cell r="D71" t="str">
            <v>남</v>
          </cell>
          <cell r="E71" t="str">
            <v>19801121</v>
          </cell>
          <cell r="F71" t="str">
            <v>46</v>
          </cell>
          <cell r="G71" t="str">
            <v>퇴직자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DDI설계1팀</v>
          </cell>
        </row>
        <row r="72">
          <cell r="A72" t="str">
            <v>20000071</v>
          </cell>
          <cell r="B72" t="str">
            <v>오택준</v>
          </cell>
          <cell r="C72" t="str">
            <v>8610181261114</v>
          </cell>
          <cell r="D72" t="str">
            <v>남</v>
          </cell>
          <cell r="E72" t="str">
            <v>19861018</v>
          </cell>
          <cell r="F72" t="str">
            <v>40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DDI설계1팀</v>
          </cell>
        </row>
        <row r="73">
          <cell r="A73" t="str">
            <v>20000072</v>
          </cell>
          <cell r="B73" t="str">
            <v>황영주</v>
          </cell>
          <cell r="C73" t="str">
            <v>8912201183816</v>
          </cell>
          <cell r="D73" t="str">
            <v>남</v>
          </cell>
          <cell r="E73" t="str">
            <v>19891220</v>
          </cell>
          <cell r="F73" t="str">
            <v>37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DDI설계1팀</v>
          </cell>
        </row>
        <row r="74">
          <cell r="A74" t="str">
            <v>20000073</v>
          </cell>
          <cell r="B74" t="str">
            <v>이관주</v>
          </cell>
          <cell r="C74" t="str">
            <v>8607151070518</v>
          </cell>
          <cell r="D74" t="str">
            <v>남</v>
          </cell>
          <cell r="E74" t="str">
            <v>19860715</v>
          </cell>
          <cell r="F74" t="str">
            <v>40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DDI설계1팀</v>
          </cell>
        </row>
        <row r="75">
          <cell r="A75" t="str">
            <v>20000074</v>
          </cell>
          <cell r="B75" t="str">
            <v>서정일</v>
          </cell>
          <cell r="C75" t="str">
            <v>7902231226128</v>
          </cell>
          <cell r="D75" t="str">
            <v>남</v>
          </cell>
          <cell r="E75" t="str">
            <v>19790321</v>
          </cell>
          <cell r="F75" t="str">
            <v>47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DDI설계1팀</v>
          </cell>
        </row>
        <row r="76">
          <cell r="A76" t="str">
            <v>20000075</v>
          </cell>
          <cell r="B76" t="str">
            <v>남형주</v>
          </cell>
          <cell r="C76" t="str">
            <v>9512141691017</v>
          </cell>
          <cell r="D76" t="str">
            <v>남</v>
          </cell>
          <cell r="E76" t="str">
            <v>19951214</v>
          </cell>
          <cell r="F76" t="str">
            <v>31</v>
          </cell>
          <cell r="G76" t="str">
            <v>퇴직자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DDI설계2팀</v>
          </cell>
        </row>
        <row r="77">
          <cell r="A77" t="str">
            <v>20000076</v>
          </cell>
          <cell r="B77" t="str">
            <v>유명석</v>
          </cell>
          <cell r="C77" t="str">
            <v>9212071125911</v>
          </cell>
          <cell r="D77" t="str">
            <v>남</v>
          </cell>
          <cell r="E77" t="str">
            <v>19921207</v>
          </cell>
          <cell r="F77" t="str">
            <v>34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DDI설계2팀</v>
          </cell>
        </row>
        <row r="78">
          <cell r="A78" t="str">
            <v>20000077</v>
          </cell>
          <cell r="B78" t="str">
            <v>윤성욱</v>
          </cell>
          <cell r="C78" t="str">
            <v>8903271915214</v>
          </cell>
          <cell r="D78" t="str">
            <v>남</v>
          </cell>
          <cell r="E78" t="str">
            <v>19890327</v>
          </cell>
          <cell r="F78" t="str">
            <v>37</v>
          </cell>
          <cell r="G78" t="str">
            <v>퇴직자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DDI설계1팀</v>
          </cell>
        </row>
        <row r="79">
          <cell r="A79" t="str">
            <v>20000078</v>
          </cell>
          <cell r="B79" t="str">
            <v>설현수</v>
          </cell>
          <cell r="C79" t="str">
            <v>8306141500316</v>
          </cell>
          <cell r="D79" t="str">
            <v>남</v>
          </cell>
          <cell r="E79" t="str">
            <v>19830614</v>
          </cell>
          <cell r="F79" t="str">
            <v>43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Layout팀</v>
          </cell>
        </row>
        <row r="80">
          <cell r="A80" t="str">
            <v>20000079</v>
          </cell>
          <cell r="B80" t="str">
            <v>마평식</v>
          </cell>
          <cell r="C80" t="str">
            <v>8203061797911</v>
          </cell>
          <cell r="D80" t="str">
            <v>남</v>
          </cell>
          <cell r="E80" t="str">
            <v>19820306</v>
          </cell>
          <cell r="F80" t="str">
            <v>44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DDI설계1팀</v>
          </cell>
        </row>
        <row r="81">
          <cell r="A81" t="str">
            <v>20000080</v>
          </cell>
          <cell r="B81" t="str">
            <v>유태경</v>
          </cell>
          <cell r="C81" t="str">
            <v>8212301822613</v>
          </cell>
          <cell r="D81" t="str">
            <v>남</v>
          </cell>
          <cell r="E81" t="str">
            <v>19821230</v>
          </cell>
          <cell r="F81" t="str">
            <v>44</v>
          </cell>
          <cell r="G81" t="str">
            <v>퇴직자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DDI설계2팀</v>
          </cell>
        </row>
        <row r="82">
          <cell r="A82" t="str">
            <v>20000081</v>
          </cell>
          <cell r="B82" t="str">
            <v>박천위</v>
          </cell>
          <cell r="C82" t="str">
            <v>8308131066018</v>
          </cell>
          <cell r="D82" t="str">
            <v>남</v>
          </cell>
          <cell r="E82" t="str">
            <v>19830813</v>
          </cell>
          <cell r="F82" t="str">
            <v>43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DDI설계1팀</v>
          </cell>
        </row>
        <row r="83">
          <cell r="A83" t="str">
            <v>20000082</v>
          </cell>
          <cell r="B83" t="str">
            <v>윤추실</v>
          </cell>
          <cell r="C83" t="str">
            <v>9611136460015</v>
          </cell>
          <cell r="D83" t="str">
            <v>여</v>
          </cell>
          <cell r="E83" t="str">
            <v>19961113</v>
          </cell>
          <cell r="F83" t="str">
            <v>30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제품기술팀</v>
          </cell>
        </row>
        <row r="84">
          <cell r="A84" t="str">
            <v>20000083</v>
          </cell>
          <cell r="B84" t="str">
            <v>이명호</v>
          </cell>
          <cell r="C84" t="str">
            <v>9311031300514</v>
          </cell>
          <cell r="D84" t="str">
            <v>남</v>
          </cell>
          <cell r="E84" t="str">
            <v>19931103</v>
          </cell>
          <cell r="F84" t="str">
            <v>33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DDI설계1팀</v>
          </cell>
        </row>
        <row r="85">
          <cell r="A85" t="str">
            <v>20000084</v>
          </cell>
          <cell r="B85" t="str">
            <v>박준영</v>
          </cell>
          <cell r="C85" t="str">
            <v>9308011037316</v>
          </cell>
          <cell r="D85" t="str">
            <v>남</v>
          </cell>
          <cell r="E85" t="str">
            <v>19930801</v>
          </cell>
          <cell r="F85" t="str">
            <v>33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DDI설계1팀</v>
          </cell>
        </row>
        <row r="86">
          <cell r="A86" t="str">
            <v>20000085</v>
          </cell>
          <cell r="B86" t="str">
            <v>정기선</v>
          </cell>
          <cell r="C86" t="str">
            <v>8309301168023</v>
          </cell>
          <cell r="D86" t="str">
            <v>남</v>
          </cell>
          <cell r="E86" t="str">
            <v>19830930</v>
          </cell>
          <cell r="F86" t="str">
            <v>43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기술사무</v>
          </cell>
          <cell r="L86" t="str">
            <v>DDI설계1팀</v>
          </cell>
        </row>
        <row r="87">
          <cell r="A87" t="str">
            <v>20000086</v>
          </cell>
          <cell r="B87" t="str">
            <v>이표현</v>
          </cell>
          <cell r="C87" t="str">
            <v>9811271205428</v>
          </cell>
          <cell r="D87" t="str">
            <v>남</v>
          </cell>
          <cell r="E87" t="str">
            <v>19981127</v>
          </cell>
          <cell r="F87" t="str">
            <v>28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Layout팀</v>
          </cell>
        </row>
        <row r="88">
          <cell r="A88" t="str">
            <v>20000087</v>
          </cell>
          <cell r="B88" t="str">
            <v>이유진</v>
          </cell>
          <cell r="C88" t="str">
            <v>9312252162129</v>
          </cell>
          <cell r="D88" t="str">
            <v>여</v>
          </cell>
          <cell r="E88" t="str">
            <v>19931225</v>
          </cell>
          <cell r="F88" t="str">
            <v>33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20000088</v>
          </cell>
          <cell r="B89" t="str">
            <v>김경환</v>
          </cell>
          <cell r="C89" t="str">
            <v>8610141041312</v>
          </cell>
          <cell r="D89" t="str">
            <v>남</v>
          </cell>
          <cell r="E89" t="str">
            <v>19861014</v>
          </cell>
          <cell r="F89" t="str">
            <v>40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PMIC설계1팀</v>
          </cell>
        </row>
        <row r="90">
          <cell r="A90" t="str">
            <v>20000090</v>
          </cell>
          <cell r="B90" t="str">
            <v>김영민</v>
          </cell>
          <cell r="C90" t="str">
            <v>9302071850518</v>
          </cell>
          <cell r="D90" t="str">
            <v>남</v>
          </cell>
          <cell r="E90" t="str">
            <v>19930207</v>
          </cell>
          <cell r="F90" t="str">
            <v>33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DDI설계2팀</v>
          </cell>
        </row>
        <row r="91">
          <cell r="A91" t="str">
            <v>20000091</v>
          </cell>
          <cell r="B91" t="str">
            <v>임재호</v>
          </cell>
          <cell r="C91" t="str">
            <v>8805221555215</v>
          </cell>
          <cell r="D91" t="str">
            <v>남</v>
          </cell>
          <cell r="E91" t="str">
            <v>19880522</v>
          </cell>
          <cell r="F91" t="str">
            <v>38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DDI설계2팀</v>
          </cell>
        </row>
        <row r="92">
          <cell r="A92" t="str">
            <v>20000092</v>
          </cell>
          <cell r="B92" t="str">
            <v>정찬경</v>
          </cell>
          <cell r="C92" t="str">
            <v>9201091029711</v>
          </cell>
          <cell r="D92" t="str">
            <v>남</v>
          </cell>
          <cell r="E92" t="str">
            <v>19920109</v>
          </cell>
          <cell r="F92" t="str">
            <v>34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DDI설계1팀</v>
          </cell>
        </row>
        <row r="93">
          <cell r="A93" t="str">
            <v>20000093</v>
          </cell>
          <cell r="B93" t="str">
            <v>가학진</v>
          </cell>
          <cell r="C93" t="str">
            <v>9208291155311</v>
          </cell>
          <cell r="D93" t="str">
            <v>남</v>
          </cell>
          <cell r="E93" t="str">
            <v>19920829</v>
          </cell>
          <cell r="F93" t="str">
            <v>34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DDI설계2팀</v>
          </cell>
        </row>
        <row r="94">
          <cell r="A94" t="str">
            <v>20000094</v>
          </cell>
          <cell r="B94" t="str">
            <v>김진호</v>
          </cell>
          <cell r="C94" t="str">
            <v>9109181157336</v>
          </cell>
          <cell r="D94" t="str">
            <v>남</v>
          </cell>
          <cell r="E94" t="str">
            <v>19910918</v>
          </cell>
          <cell r="F94" t="str">
            <v>35</v>
          </cell>
          <cell r="G94" t="str">
            <v>퇴직자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DDI설계1팀</v>
          </cell>
        </row>
        <row r="95">
          <cell r="A95" t="str">
            <v>20000095</v>
          </cell>
          <cell r="B95" t="str">
            <v>이승화</v>
          </cell>
          <cell r="C95" t="str">
            <v>9607301236511</v>
          </cell>
          <cell r="D95" t="str">
            <v>남</v>
          </cell>
          <cell r="E95" t="str">
            <v>19960730</v>
          </cell>
          <cell r="F95" t="str">
            <v>30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기술사무</v>
          </cell>
          <cell r="L95" t="str">
            <v>품질팀</v>
          </cell>
        </row>
        <row r="96">
          <cell r="A96" t="str">
            <v>20000096</v>
          </cell>
          <cell r="B96" t="str">
            <v>변지수</v>
          </cell>
          <cell r="C96" t="str">
            <v>9607082078214</v>
          </cell>
          <cell r="D96" t="str">
            <v>여</v>
          </cell>
          <cell r="E96" t="str">
            <v>19960708</v>
          </cell>
          <cell r="F96" t="str">
            <v>30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SCM팀</v>
          </cell>
        </row>
        <row r="97">
          <cell r="A97" t="str">
            <v>20000097</v>
          </cell>
          <cell r="B97" t="str">
            <v>백인철</v>
          </cell>
          <cell r="C97" t="str">
            <v>8907311496639</v>
          </cell>
          <cell r="D97" t="str">
            <v>남</v>
          </cell>
          <cell r="E97" t="str">
            <v>19890731</v>
          </cell>
          <cell r="F97" t="str">
            <v>37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제품기술팀</v>
          </cell>
        </row>
        <row r="98">
          <cell r="A98" t="str">
            <v>20000098</v>
          </cell>
          <cell r="B98" t="str">
            <v>장진웅</v>
          </cell>
          <cell r="C98" t="str">
            <v>9511171024427</v>
          </cell>
          <cell r="D98" t="str">
            <v>남</v>
          </cell>
          <cell r="E98" t="str">
            <v>19951117</v>
          </cell>
          <cell r="F98" t="str">
            <v>31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DDI설계1팀</v>
          </cell>
        </row>
        <row r="99">
          <cell r="A99" t="str">
            <v>20000099</v>
          </cell>
          <cell r="B99" t="str">
            <v>최성민</v>
          </cell>
          <cell r="C99" t="str">
            <v>9501291103415</v>
          </cell>
          <cell r="D99" t="str">
            <v>남</v>
          </cell>
          <cell r="E99" t="str">
            <v>19950129</v>
          </cell>
          <cell r="F99" t="str">
            <v>31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DDI설계2팀</v>
          </cell>
        </row>
        <row r="100">
          <cell r="A100" t="str">
            <v>20000100</v>
          </cell>
          <cell r="B100" t="str">
            <v>유제열</v>
          </cell>
          <cell r="C100" t="str">
            <v>8707091205112</v>
          </cell>
          <cell r="D100" t="str">
            <v>남</v>
          </cell>
          <cell r="E100" t="str">
            <v>19870709</v>
          </cell>
          <cell r="F100" t="str">
            <v>39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품질팀</v>
          </cell>
        </row>
        <row r="101">
          <cell r="A101" t="str">
            <v>20000101</v>
          </cell>
          <cell r="B101" t="str">
            <v>정수민</v>
          </cell>
          <cell r="C101" t="str">
            <v>8801162483610</v>
          </cell>
          <cell r="D101" t="str">
            <v>여</v>
          </cell>
          <cell r="E101" t="str">
            <v>19880116</v>
          </cell>
          <cell r="F101" t="str">
            <v>38</v>
          </cell>
          <cell r="G101" t="str">
            <v>퇴직자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DDI설계2팀</v>
          </cell>
        </row>
        <row r="102">
          <cell r="A102" t="str">
            <v>20000102</v>
          </cell>
          <cell r="B102" t="str">
            <v>이정호</v>
          </cell>
          <cell r="C102" t="str">
            <v>9205161080913</v>
          </cell>
          <cell r="D102" t="str">
            <v>남</v>
          </cell>
          <cell r="E102" t="str">
            <v>19920516</v>
          </cell>
          <cell r="F102" t="str">
            <v>34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DDI설계1팀</v>
          </cell>
        </row>
        <row r="103">
          <cell r="A103" t="str">
            <v>20000103</v>
          </cell>
          <cell r="B103" t="str">
            <v>정겨운</v>
          </cell>
          <cell r="C103" t="str">
            <v>9207201035613</v>
          </cell>
          <cell r="D103" t="str">
            <v>남</v>
          </cell>
          <cell r="E103" t="str">
            <v>19920720</v>
          </cell>
          <cell r="F103" t="str">
            <v>34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영업팀</v>
          </cell>
        </row>
        <row r="104">
          <cell r="A104" t="str">
            <v>20000104</v>
          </cell>
          <cell r="B104" t="str">
            <v>임나영</v>
          </cell>
          <cell r="C104" t="str">
            <v>9709192085425</v>
          </cell>
          <cell r="D104" t="str">
            <v>여</v>
          </cell>
          <cell r="E104" t="str">
            <v>19970919</v>
          </cell>
          <cell r="F104" t="str">
            <v>29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피플팀</v>
          </cell>
        </row>
        <row r="105">
          <cell r="A105" t="str">
            <v>20000105</v>
          </cell>
          <cell r="B105" t="str">
            <v>황규철</v>
          </cell>
          <cell r="C105" t="str">
            <v>6409161675711</v>
          </cell>
          <cell r="D105" t="str">
            <v>남</v>
          </cell>
          <cell r="E105" t="str">
            <v>19640916</v>
          </cell>
          <cell r="F105" t="str">
            <v>62</v>
          </cell>
          <cell r="G105" t="str">
            <v>퇴직자</v>
          </cell>
          <cell r="H105" t="str">
            <v>판교</v>
          </cell>
          <cell r="I105"/>
          <cell r="J105"/>
          <cell r="K105" t="str">
            <v>임원</v>
          </cell>
          <cell r="L105" t="str">
            <v>DB글로벌칩</v>
          </cell>
        </row>
        <row r="106">
          <cell r="A106" t="str">
            <v>20000106</v>
          </cell>
          <cell r="B106" t="str">
            <v>변재우</v>
          </cell>
          <cell r="C106" t="str">
            <v>8912221037713</v>
          </cell>
          <cell r="D106" t="str">
            <v>남</v>
          </cell>
          <cell r="E106" t="str">
            <v>19891222</v>
          </cell>
          <cell r="F106" t="str">
            <v>37</v>
          </cell>
          <cell r="G106" t="str">
            <v>퇴직자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품질팀</v>
          </cell>
        </row>
        <row r="107">
          <cell r="A107" t="str">
            <v>20000107</v>
          </cell>
          <cell r="B107" t="str">
            <v>김광수</v>
          </cell>
          <cell r="C107" t="str">
            <v>6606191268119</v>
          </cell>
          <cell r="D107" t="str">
            <v>남</v>
          </cell>
          <cell r="E107" t="str">
            <v>19660619</v>
          </cell>
          <cell r="F107" t="str">
            <v>60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임원</v>
          </cell>
          <cell r="L107" t="str">
            <v>경영지원실</v>
          </cell>
        </row>
        <row r="108">
          <cell r="A108" t="str">
            <v>20000108</v>
          </cell>
          <cell r="B108" t="str">
            <v>김성빈</v>
          </cell>
          <cell r="C108" t="str">
            <v>9506251152614</v>
          </cell>
          <cell r="D108" t="str">
            <v>남</v>
          </cell>
          <cell r="E108" t="str">
            <v>19950625</v>
          </cell>
          <cell r="F108" t="str">
            <v>31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Layout팀</v>
          </cell>
        </row>
        <row r="109">
          <cell r="A109" t="str">
            <v>20000109</v>
          </cell>
          <cell r="B109" t="str">
            <v>신현진</v>
          </cell>
          <cell r="C109" t="str">
            <v>7410011810429</v>
          </cell>
          <cell r="D109" t="str">
            <v>남</v>
          </cell>
          <cell r="E109" t="str">
            <v>19741001</v>
          </cell>
          <cell r="F109" t="str">
            <v>52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Layout팀</v>
          </cell>
        </row>
        <row r="110">
          <cell r="A110" t="str">
            <v>20000110</v>
          </cell>
          <cell r="B110" t="str">
            <v>PanShiQiang</v>
          </cell>
          <cell r="C110" t="str">
            <v>8603151111111</v>
          </cell>
          <cell r="D110" t="str">
            <v>남</v>
          </cell>
          <cell r="E110" t="str">
            <v>19860315</v>
          </cell>
          <cell r="F110" t="str">
            <v>40</v>
          </cell>
          <cell r="G110" t="str">
            <v>재직자</v>
          </cell>
          <cell r="H110" t="str">
            <v>중국</v>
          </cell>
          <cell r="I110" t="str">
            <v>심천</v>
          </cell>
          <cell r="J110" t="str">
            <v>현지직원</v>
          </cell>
          <cell r="K110" t="str">
            <v>기술사무</v>
          </cell>
          <cell r="L110" t="str">
            <v>영업팀</v>
          </cell>
        </row>
        <row r="111">
          <cell r="A111" t="str">
            <v>20000111</v>
          </cell>
          <cell r="B111" t="str">
            <v>김희준</v>
          </cell>
          <cell r="C111" t="str">
            <v>9307231188728</v>
          </cell>
          <cell r="D111" t="str">
            <v>남</v>
          </cell>
          <cell r="E111" t="str">
            <v>19930723</v>
          </cell>
          <cell r="F111" t="str">
            <v>33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DDI설계1팀</v>
          </cell>
        </row>
        <row r="112">
          <cell r="A112" t="str">
            <v>20000112</v>
          </cell>
          <cell r="B112" t="str">
            <v>이장현</v>
          </cell>
          <cell r="C112" t="str">
            <v>9402271588116</v>
          </cell>
          <cell r="D112" t="str">
            <v>남</v>
          </cell>
          <cell r="E112" t="str">
            <v>19940227</v>
          </cell>
          <cell r="F112" t="str">
            <v>32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SCM팀</v>
          </cell>
        </row>
        <row r="113">
          <cell r="A113" t="str">
            <v>20000113</v>
          </cell>
          <cell r="B113" t="str">
            <v>협력73</v>
          </cell>
          <cell r="C113" t="str">
            <v>8301231162615</v>
          </cell>
          <cell r="D113" t="str">
            <v>남</v>
          </cell>
          <cell r="E113" t="str">
            <v>19830123</v>
          </cell>
          <cell r="F113" t="str">
            <v>43</v>
          </cell>
          <cell r="G113" t="str">
            <v>퇴직자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DDI설계2팀</v>
          </cell>
        </row>
        <row r="114">
          <cell r="A114" t="str">
            <v>20000114</v>
          </cell>
          <cell r="B114" t="str">
            <v>양우선</v>
          </cell>
          <cell r="C114" t="str">
            <v>9107022065911</v>
          </cell>
          <cell r="D114" t="str">
            <v>여</v>
          </cell>
          <cell r="E114" t="str">
            <v>19910702</v>
          </cell>
          <cell r="F114" t="str">
            <v>35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DDI설계1팀</v>
          </cell>
        </row>
        <row r="115">
          <cell r="A115" t="str">
            <v>20000115</v>
          </cell>
          <cell r="B115" t="str">
            <v>정다미</v>
          </cell>
          <cell r="C115" t="str">
            <v>9311202702816</v>
          </cell>
          <cell r="D115" t="str">
            <v>여</v>
          </cell>
          <cell r="E115" t="str">
            <v>19931120</v>
          </cell>
          <cell r="F115" t="str">
            <v>33</v>
          </cell>
          <cell r="G115" t="str">
            <v>퇴직자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피플팀</v>
          </cell>
        </row>
        <row r="116">
          <cell r="A116" t="str">
            <v>20000116</v>
          </cell>
          <cell r="B116" t="str">
            <v>경명근</v>
          </cell>
          <cell r="C116" t="str">
            <v>9901141155118</v>
          </cell>
          <cell r="D116" t="str">
            <v>남</v>
          </cell>
          <cell r="E116" t="str">
            <v>19990114</v>
          </cell>
          <cell r="F116" t="str">
            <v>27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Layout팀</v>
          </cell>
        </row>
        <row r="117">
          <cell r="A117" t="str">
            <v>20000117</v>
          </cell>
          <cell r="B117" t="str">
            <v>김수민</v>
          </cell>
          <cell r="C117" t="str">
            <v>9110232079417</v>
          </cell>
          <cell r="D117" t="str">
            <v>여</v>
          </cell>
          <cell r="E117" t="str">
            <v>19911023</v>
          </cell>
          <cell r="F117" t="str">
            <v>35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재무관리팀</v>
          </cell>
        </row>
        <row r="118">
          <cell r="A118" t="str">
            <v>20000118</v>
          </cell>
          <cell r="B118" t="str">
            <v>권성재</v>
          </cell>
          <cell r="C118" t="str">
            <v>8211141231015</v>
          </cell>
          <cell r="D118" t="str">
            <v>남</v>
          </cell>
          <cell r="E118" t="str">
            <v>19821114</v>
          </cell>
          <cell r="F118" t="str">
            <v>44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재무관리팀</v>
          </cell>
        </row>
        <row r="119">
          <cell r="A119" t="str">
            <v>20000119</v>
          </cell>
          <cell r="B119" t="str">
            <v>신창희</v>
          </cell>
          <cell r="C119" t="str">
            <v>7710141122629</v>
          </cell>
          <cell r="D119" t="str">
            <v>남</v>
          </cell>
          <cell r="E119" t="str">
            <v>19771014</v>
          </cell>
          <cell r="F119" t="str">
            <v>49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임원</v>
          </cell>
          <cell r="L119" t="str">
            <v>DDI설계2팀</v>
          </cell>
        </row>
        <row r="120">
          <cell r="A120" t="str">
            <v>20000120</v>
          </cell>
          <cell r="B120" t="str">
            <v>김대용</v>
          </cell>
          <cell r="C120" t="str">
            <v>8401201691527</v>
          </cell>
          <cell r="D120" t="str">
            <v>남</v>
          </cell>
          <cell r="E120" t="str">
            <v>19840120</v>
          </cell>
          <cell r="F120" t="str">
            <v>42</v>
          </cell>
          <cell r="G120" t="str">
            <v>퇴직자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제품기술팀</v>
          </cell>
        </row>
        <row r="121">
          <cell r="A121" t="str">
            <v>20000121</v>
          </cell>
          <cell r="B121" t="str">
            <v>왕단</v>
          </cell>
          <cell r="C121" t="str">
            <v>8406306780290</v>
          </cell>
          <cell r="D121" t="str">
            <v>여</v>
          </cell>
          <cell r="E121" t="str">
            <v>19840630</v>
          </cell>
          <cell r="F121" t="str">
            <v>42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품질팀</v>
          </cell>
        </row>
        <row r="122">
          <cell r="A122" t="str">
            <v>20000122</v>
          </cell>
          <cell r="B122" t="str">
            <v>노란나래</v>
          </cell>
          <cell r="C122" t="str">
            <v>8812162710010</v>
          </cell>
          <cell r="D122" t="str">
            <v>여</v>
          </cell>
          <cell r="E122" t="str">
            <v>19881216</v>
          </cell>
          <cell r="F122" t="str">
            <v>38</v>
          </cell>
          <cell r="G122" t="str">
            <v>퇴직자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영업팀</v>
          </cell>
        </row>
        <row r="123">
          <cell r="A123" t="str">
            <v>20000123</v>
          </cell>
          <cell r="B123" t="str">
            <v>최민</v>
          </cell>
          <cell r="C123" t="str">
            <v>0002144080722</v>
          </cell>
          <cell r="D123" t="str">
            <v>여</v>
          </cell>
          <cell r="E123" t="str">
            <v>20000214</v>
          </cell>
          <cell r="F123" t="str">
            <v>26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Layout팀</v>
          </cell>
        </row>
        <row r="124">
          <cell r="A124" t="str">
            <v>20000124</v>
          </cell>
          <cell r="B124" t="str">
            <v>윤신</v>
          </cell>
          <cell r="C124" t="str">
            <v>8403061823313</v>
          </cell>
          <cell r="D124" t="str">
            <v>남</v>
          </cell>
          <cell r="E124" t="str">
            <v>19840306</v>
          </cell>
          <cell r="F124" t="str">
            <v>42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DDI설계2팀</v>
          </cell>
        </row>
        <row r="125">
          <cell r="A125" t="str">
            <v>20000125</v>
          </cell>
          <cell r="B125" t="str">
            <v>김도현</v>
          </cell>
          <cell r="C125" t="str">
            <v>8911061254337</v>
          </cell>
          <cell r="D125" t="str">
            <v>남</v>
          </cell>
          <cell r="E125" t="str">
            <v>19891106</v>
          </cell>
          <cell r="F125" t="str">
            <v>37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Layout팀</v>
          </cell>
        </row>
        <row r="126">
          <cell r="A126" t="str">
            <v>20000126</v>
          </cell>
          <cell r="B126" t="str">
            <v>정중연</v>
          </cell>
          <cell r="C126" t="str">
            <v>9606231198119</v>
          </cell>
          <cell r="D126" t="str">
            <v>남</v>
          </cell>
          <cell r="E126" t="str">
            <v>19960623</v>
          </cell>
          <cell r="F126" t="str">
            <v>30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기술사무</v>
          </cell>
          <cell r="L126" t="str">
            <v>Test팀</v>
          </cell>
        </row>
        <row r="127">
          <cell r="A127" t="str">
            <v>20000127</v>
          </cell>
          <cell r="B127" t="str">
            <v>송치호</v>
          </cell>
          <cell r="C127" t="str">
            <v>9512101351410</v>
          </cell>
          <cell r="D127" t="str">
            <v>남</v>
          </cell>
          <cell r="E127" t="str">
            <v>19951210</v>
          </cell>
          <cell r="F127" t="str">
            <v>31</v>
          </cell>
          <cell r="G127" t="str">
            <v>퇴직자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DDI설계1팀</v>
          </cell>
        </row>
        <row r="128">
          <cell r="A128" t="str">
            <v>20000128</v>
          </cell>
          <cell r="B128" t="str">
            <v>이동훈</v>
          </cell>
          <cell r="C128" t="str">
            <v>9802181574213</v>
          </cell>
          <cell r="D128" t="str">
            <v>남</v>
          </cell>
          <cell r="E128" t="str">
            <v>19980218</v>
          </cell>
          <cell r="F128" t="str">
            <v>28</v>
          </cell>
          <cell r="G128" t="str">
            <v>퇴직자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DDI설계1팀</v>
          </cell>
        </row>
        <row r="129">
          <cell r="A129" t="str">
            <v>20000129</v>
          </cell>
          <cell r="B129" t="str">
            <v>조민준</v>
          </cell>
          <cell r="C129" t="str">
            <v>9611271726816</v>
          </cell>
          <cell r="D129" t="str">
            <v>남</v>
          </cell>
          <cell r="E129" t="str">
            <v>19961127</v>
          </cell>
          <cell r="F129" t="str">
            <v>30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DDI설계1팀</v>
          </cell>
        </row>
        <row r="130">
          <cell r="A130" t="str">
            <v>20000130</v>
          </cell>
          <cell r="B130" t="str">
            <v>이승민</v>
          </cell>
          <cell r="C130" t="str">
            <v>9002081822211</v>
          </cell>
          <cell r="D130" t="str">
            <v>남</v>
          </cell>
          <cell r="E130" t="str">
            <v>19900208</v>
          </cell>
          <cell r="F130" t="str">
            <v>36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DDI설계2팀</v>
          </cell>
        </row>
        <row r="131">
          <cell r="A131" t="str">
            <v>20000131</v>
          </cell>
          <cell r="B131" t="str">
            <v>유기웅</v>
          </cell>
          <cell r="C131" t="str">
            <v>9510051081518</v>
          </cell>
          <cell r="D131" t="str">
            <v>남</v>
          </cell>
          <cell r="E131" t="str">
            <v>19951005</v>
          </cell>
          <cell r="F131" t="str">
            <v>31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제품기술팀</v>
          </cell>
        </row>
        <row r="132">
          <cell r="A132" t="str">
            <v>20000132</v>
          </cell>
          <cell r="B132" t="str">
            <v>최세진</v>
          </cell>
          <cell r="C132" t="str">
            <v>9105201170015</v>
          </cell>
          <cell r="D132" t="str">
            <v>남</v>
          </cell>
          <cell r="E132" t="str">
            <v>19910520</v>
          </cell>
          <cell r="F132" t="str">
            <v>35</v>
          </cell>
          <cell r="G132" t="str">
            <v>퇴직자</v>
          </cell>
          <cell r="H132" t="str">
            <v>판교</v>
          </cell>
          <cell r="I132"/>
          <cell r="J132"/>
          <cell r="K132" t="str">
            <v>기술사무</v>
          </cell>
          <cell r="L132" t="str">
            <v>DDI설계2팀</v>
          </cell>
        </row>
        <row r="133">
          <cell r="A133" t="str">
            <v>20000133</v>
          </cell>
          <cell r="B133" t="str">
            <v>표명호</v>
          </cell>
          <cell r="C133" t="str">
            <v>9911261188219</v>
          </cell>
          <cell r="D133" t="str">
            <v>남</v>
          </cell>
          <cell r="E133" t="str">
            <v>19991126</v>
          </cell>
          <cell r="F133" t="str">
            <v>27</v>
          </cell>
          <cell r="G133" t="str">
            <v>퇴직자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Layout팀</v>
          </cell>
        </row>
        <row r="134">
          <cell r="A134" t="str">
            <v>20000134</v>
          </cell>
          <cell r="B134" t="str">
            <v>이상태</v>
          </cell>
          <cell r="C134" t="str">
            <v>7609011075219</v>
          </cell>
          <cell r="D134" t="str">
            <v>남</v>
          </cell>
          <cell r="E134" t="str">
            <v>19760901</v>
          </cell>
          <cell r="F134" t="str">
            <v>50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영업팀</v>
          </cell>
        </row>
        <row r="135">
          <cell r="A135" t="str">
            <v>20000135</v>
          </cell>
          <cell r="B135" t="str">
            <v>김인호</v>
          </cell>
          <cell r="C135" t="str">
            <v>7702041343910</v>
          </cell>
          <cell r="D135" t="str">
            <v>남</v>
          </cell>
          <cell r="E135" t="str">
            <v>19770204</v>
          </cell>
          <cell r="F135" t="str">
            <v>49</v>
          </cell>
          <cell r="G135" t="str">
            <v>퇴직자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전략마케팅팀</v>
          </cell>
        </row>
        <row r="136">
          <cell r="A136" t="str">
            <v>20000136</v>
          </cell>
          <cell r="B136" t="str">
            <v>협력75</v>
          </cell>
          <cell r="C136" t="str">
            <v>8711261303015</v>
          </cell>
          <cell r="D136" t="str">
            <v>남</v>
          </cell>
          <cell r="E136" t="str">
            <v>19871126</v>
          </cell>
          <cell r="F136" t="str">
            <v>39</v>
          </cell>
          <cell r="G136" t="str">
            <v>퇴직자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DDI설계2팀</v>
          </cell>
        </row>
        <row r="137">
          <cell r="A137" t="str">
            <v>20000137</v>
          </cell>
          <cell r="B137" t="str">
            <v>천승우</v>
          </cell>
          <cell r="C137" t="str">
            <v>8812231125628</v>
          </cell>
          <cell r="D137" t="str">
            <v>남</v>
          </cell>
          <cell r="E137" t="str">
            <v>19881223</v>
          </cell>
          <cell r="F137" t="str">
            <v>38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Layout팀</v>
          </cell>
        </row>
        <row r="138">
          <cell r="A138" t="str">
            <v>20000138</v>
          </cell>
          <cell r="B138" t="str">
            <v>협력76</v>
          </cell>
          <cell r="C138" t="str">
            <v>8201291063636</v>
          </cell>
          <cell r="D138" t="str">
            <v>남</v>
          </cell>
          <cell r="E138" t="str">
            <v>19820129</v>
          </cell>
          <cell r="F138" t="str">
            <v>44</v>
          </cell>
          <cell r="G138" t="str">
            <v>퇴직자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DDI설계2팀</v>
          </cell>
        </row>
        <row r="139">
          <cell r="A139" t="str">
            <v>20000139</v>
          </cell>
          <cell r="B139" t="str">
            <v>변아름</v>
          </cell>
          <cell r="C139" t="str">
            <v>9301172323518</v>
          </cell>
          <cell r="D139" t="str">
            <v>여</v>
          </cell>
          <cell r="E139" t="str">
            <v>19930117</v>
          </cell>
          <cell r="F139" t="str">
            <v>33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기술사무</v>
          </cell>
          <cell r="L139" t="str">
            <v>Layout팀</v>
          </cell>
        </row>
        <row r="140">
          <cell r="A140" t="str">
            <v>20000140</v>
          </cell>
          <cell r="B140" t="str">
            <v>인병화</v>
          </cell>
          <cell r="C140" t="str">
            <v>8603311232815</v>
          </cell>
          <cell r="D140" t="str">
            <v>남</v>
          </cell>
          <cell r="E140" t="str">
            <v>19860331</v>
          </cell>
          <cell r="F140" t="str">
            <v>40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기술사무</v>
          </cell>
          <cell r="L140" t="str">
            <v>DDI설계1팀</v>
          </cell>
        </row>
        <row r="141">
          <cell r="A141" t="str">
            <v>20000141</v>
          </cell>
          <cell r="B141" t="str">
            <v>박종훈</v>
          </cell>
          <cell r="C141" t="str">
            <v>9406121300118</v>
          </cell>
          <cell r="D141" t="str">
            <v>남</v>
          </cell>
          <cell r="E141" t="str">
            <v>19940612</v>
          </cell>
          <cell r="F141" t="str">
            <v>32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기술사무</v>
          </cell>
          <cell r="L141" t="str">
            <v>DDI설계2팀</v>
          </cell>
        </row>
        <row r="142">
          <cell r="A142" t="str">
            <v>20000142</v>
          </cell>
          <cell r="B142" t="str">
            <v>김승중</v>
          </cell>
          <cell r="C142" t="str">
            <v>8107221057921</v>
          </cell>
          <cell r="D142" t="str">
            <v>남</v>
          </cell>
          <cell r="E142" t="str">
            <v>19810722</v>
          </cell>
          <cell r="F142" t="str">
            <v>45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피플팀</v>
          </cell>
        </row>
        <row r="143">
          <cell r="A143" t="str">
            <v>20000144</v>
          </cell>
          <cell r="B143" t="str">
            <v>LiPeng</v>
          </cell>
          <cell r="C143" t="str">
            <v>8710171111111</v>
          </cell>
          <cell r="D143" t="str">
            <v>남</v>
          </cell>
          <cell r="E143" t="str">
            <v>19871017</v>
          </cell>
          <cell r="F143" t="str">
            <v>39</v>
          </cell>
          <cell r="G143" t="str">
            <v>퇴직자</v>
          </cell>
          <cell r="H143" t="str">
            <v>중국</v>
          </cell>
          <cell r="I143" t="str">
            <v>심천</v>
          </cell>
          <cell r="J143"/>
          <cell r="K143" t="str">
            <v>기술사무</v>
          </cell>
          <cell r="L143" t="str">
            <v>심천지사</v>
          </cell>
        </row>
        <row r="144">
          <cell r="A144" t="str">
            <v>20000145</v>
          </cell>
          <cell r="B144" t="str">
            <v>이경원</v>
          </cell>
          <cell r="C144" t="str">
            <v>9608222053123</v>
          </cell>
          <cell r="D144" t="str">
            <v>여</v>
          </cell>
          <cell r="E144" t="str">
            <v>19960822</v>
          </cell>
          <cell r="F144" t="str">
            <v>30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재무관리팀</v>
          </cell>
        </row>
        <row r="145">
          <cell r="A145" t="str">
            <v>20000146</v>
          </cell>
          <cell r="B145" t="str">
            <v>윤성탁</v>
          </cell>
          <cell r="C145" t="str">
            <v>8301231162615</v>
          </cell>
          <cell r="D145" t="str">
            <v>남</v>
          </cell>
          <cell r="E145" t="str">
            <v>19830123</v>
          </cell>
          <cell r="F145" t="str">
            <v>43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DDI설계2팀</v>
          </cell>
        </row>
        <row r="146">
          <cell r="A146" t="str">
            <v>20000147</v>
          </cell>
          <cell r="B146" t="str">
            <v>김미로</v>
          </cell>
          <cell r="C146" t="str">
            <v>9006252192629</v>
          </cell>
          <cell r="D146" t="str">
            <v>여</v>
          </cell>
          <cell r="E146" t="str">
            <v>19900625</v>
          </cell>
          <cell r="F146" t="str">
            <v>36</v>
          </cell>
          <cell r="G146" t="str">
            <v>퇴직자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Layout팀</v>
          </cell>
        </row>
        <row r="147">
          <cell r="A147" t="str">
            <v>20000148</v>
          </cell>
          <cell r="B147" t="str">
            <v>정호용</v>
          </cell>
          <cell r="C147" t="str">
            <v>9405091127310</v>
          </cell>
          <cell r="D147" t="str">
            <v>남</v>
          </cell>
          <cell r="E147" t="str">
            <v>19940509</v>
          </cell>
          <cell r="F147" t="str">
            <v>32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기술사무</v>
          </cell>
          <cell r="L147" t="str">
            <v>DDI설계1팀</v>
          </cell>
        </row>
        <row r="148">
          <cell r="A148" t="str">
            <v>20000151</v>
          </cell>
          <cell r="B148" t="str">
            <v>김형호</v>
          </cell>
          <cell r="C148" t="str">
            <v>8807141183024</v>
          </cell>
          <cell r="D148" t="str">
            <v>남</v>
          </cell>
          <cell r="E148" t="str">
            <v>19880714</v>
          </cell>
          <cell r="F148" t="str">
            <v>38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기술사무</v>
          </cell>
          <cell r="L148" t="str">
            <v>영업팀</v>
          </cell>
        </row>
        <row r="149">
          <cell r="A149" t="str">
            <v>20000152</v>
          </cell>
          <cell r="B149" t="str">
            <v>홍형도</v>
          </cell>
          <cell r="C149" t="str">
            <v>8408261182917</v>
          </cell>
          <cell r="D149" t="str">
            <v>남</v>
          </cell>
          <cell r="E149" t="str">
            <v>19840826</v>
          </cell>
          <cell r="F149" t="str">
            <v>42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DDI마케팅파트</v>
          </cell>
        </row>
        <row r="150">
          <cell r="A150" t="str">
            <v>20000153</v>
          </cell>
          <cell r="B150" t="str">
            <v>김영기</v>
          </cell>
          <cell r="C150" t="str">
            <v>9509161249518</v>
          </cell>
          <cell r="D150" t="str">
            <v>남</v>
          </cell>
          <cell r="E150" t="str">
            <v>19950916</v>
          </cell>
          <cell r="F150" t="str">
            <v>31</v>
          </cell>
          <cell r="G150" t="str">
            <v>퇴직자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제품기술팀</v>
          </cell>
        </row>
        <row r="151">
          <cell r="A151" t="str">
            <v>20000154</v>
          </cell>
          <cell r="B151" t="str">
            <v>김민건</v>
          </cell>
          <cell r="C151" t="str">
            <v>8109261065711</v>
          </cell>
          <cell r="D151" t="str">
            <v>남</v>
          </cell>
          <cell r="E151" t="str">
            <v>19810926</v>
          </cell>
          <cell r="F151" t="str">
            <v>45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영업팀</v>
          </cell>
        </row>
        <row r="152">
          <cell r="A152" t="str">
            <v>20000155</v>
          </cell>
          <cell r="B152" t="str">
            <v>배윤미</v>
          </cell>
          <cell r="C152" t="str">
            <v>7909222768233</v>
          </cell>
          <cell r="D152" t="str">
            <v>여</v>
          </cell>
          <cell r="E152" t="str">
            <v>19790922</v>
          </cell>
          <cell r="F152" t="str">
            <v>47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PMIC마케팅파트</v>
          </cell>
        </row>
        <row r="153">
          <cell r="A153" t="str">
            <v>20000156</v>
          </cell>
          <cell r="B153" t="str">
            <v>김상용</v>
          </cell>
          <cell r="C153" t="str">
            <v>8805081011410</v>
          </cell>
          <cell r="D153" t="str">
            <v>남</v>
          </cell>
          <cell r="E153" t="str">
            <v>19880508</v>
          </cell>
          <cell r="F153" t="str">
            <v>38</v>
          </cell>
          <cell r="G153" t="str">
            <v>퇴직자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재무관리팀</v>
          </cell>
        </row>
        <row r="154">
          <cell r="A154" t="str">
            <v>20000157</v>
          </cell>
          <cell r="B154" t="str">
            <v>노상우</v>
          </cell>
          <cell r="C154" t="str">
            <v>9507181194522</v>
          </cell>
          <cell r="D154" t="str">
            <v>남</v>
          </cell>
          <cell r="E154" t="str">
            <v>19950718</v>
          </cell>
          <cell r="F154" t="str">
            <v>31</v>
          </cell>
          <cell r="G154" t="str">
            <v>퇴직자</v>
          </cell>
          <cell r="H154" t="str">
            <v>판교</v>
          </cell>
          <cell r="I154"/>
          <cell r="J154"/>
          <cell r="K154" t="str">
            <v>기술사무</v>
          </cell>
          <cell r="L154" t="str">
            <v>제품기술팀</v>
          </cell>
        </row>
        <row r="155">
          <cell r="A155" t="str">
            <v>20000158</v>
          </cell>
          <cell r="B155" t="str">
            <v>이재현</v>
          </cell>
          <cell r="C155" t="str">
            <v>9609021351913</v>
          </cell>
          <cell r="D155" t="str">
            <v>남</v>
          </cell>
          <cell r="E155" t="str">
            <v>19960902</v>
          </cell>
          <cell r="F155" t="str">
            <v>30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IT파트</v>
          </cell>
        </row>
        <row r="156">
          <cell r="A156" t="str">
            <v>20000159</v>
          </cell>
          <cell r="B156" t="str">
            <v>양인범</v>
          </cell>
          <cell r="C156" t="str">
            <v>7712281055511</v>
          </cell>
          <cell r="D156" t="str">
            <v>남</v>
          </cell>
          <cell r="E156" t="str">
            <v>19771228</v>
          </cell>
          <cell r="F156" t="str">
            <v>49</v>
          </cell>
          <cell r="G156" t="str">
            <v>퇴직자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제품개발담당</v>
          </cell>
        </row>
        <row r="157">
          <cell r="A157" t="str">
            <v>20000162</v>
          </cell>
          <cell r="B157" t="str">
            <v>하창우</v>
          </cell>
          <cell r="C157" t="str">
            <v>7312121821613</v>
          </cell>
          <cell r="D157" t="str">
            <v>남</v>
          </cell>
          <cell r="E157" t="str">
            <v>19731212</v>
          </cell>
          <cell r="F157" t="str">
            <v>53</v>
          </cell>
          <cell r="G157" t="str">
            <v>퇴직자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PMIC설계1팀</v>
          </cell>
        </row>
        <row r="158">
          <cell r="A158" t="str">
            <v>20000163</v>
          </cell>
          <cell r="B158" t="str">
            <v>조아연</v>
          </cell>
          <cell r="C158" t="str">
            <v>9712232170221</v>
          </cell>
          <cell r="D158" t="str">
            <v>여</v>
          </cell>
          <cell r="E158" t="str">
            <v>19971223</v>
          </cell>
          <cell r="F158" t="str">
            <v>29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PMIC설계1팀</v>
          </cell>
        </row>
        <row r="159">
          <cell r="A159" t="str">
            <v>20000164</v>
          </cell>
          <cell r="B159" t="str">
            <v>강대현</v>
          </cell>
          <cell r="C159" t="str">
            <v>9811201188316</v>
          </cell>
          <cell r="D159" t="str">
            <v>남</v>
          </cell>
          <cell r="E159" t="str">
            <v>19981120</v>
          </cell>
          <cell r="F159" t="str">
            <v>28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Layout팀</v>
          </cell>
        </row>
        <row r="160">
          <cell r="A160" t="str">
            <v>20000165</v>
          </cell>
          <cell r="B160" t="str">
            <v>박지홍</v>
          </cell>
          <cell r="C160" t="str">
            <v>0111293249412</v>
          </cell>
          <cell r="D160" t="str">
            <v>남</v>
          </cell>
          <cell r="E160" t="str">
            <v>20011129</v>
          </cell>
          <cell r="F160" t="str">
            <v>25</v>
          </cell>
          <cell r="G160" t="str">
            <v>퇴직자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Layout팀</v>
          </cell>
        </row>
        <row r="161">
          <cell r="A161" t="str">
            <v>20000166</v>
          </cell>
          <cell r="B161" t="str">
            <v>강동균</v>
          </cell>
          <cell r="C161" t="str">
            <v>0001083696519</v>
          </cell>
          <cell r="D161" t="str">
            <v>남</v>
          </cell>
          <cell r="E161" t="str">
            <v>20000108</v>
          </cell>
          <cell r="F161" t="str">
            <v>26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기술사무</v>
          </cell>
          <cell r="L161" t="str">
            <v>SCM팀</v>
          </cell>
        </row>
        <row r="162">
          <cell r="A162" t="str">
            <v>20000167</v>
          </cell>
          <cell r="B162" t="str">
            <v>최강준</v>
          </cell>
          <cell r="C162" t="str">
            <v>9802191560412</v>
          </cell>
          <cell r="D162" t="str">
            <v>남</v>
          </cell>
          <cell r="E162" t="str">
            <v>19980219</v>
          </cell>
          <cell r="F162" t="str">
            <v>28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SCM팀</v>
          </cell>
        </row>
        <row r="163">
          <cell r="A163" t="str">
            <v>20000168</v>
          </cell>
          <cell r="B163" t="str">
            <v>김지원</v>
          </cell>
          <cell r="C163" t="str">
            <v>0002194674418</v>
          </cell>
          <cell r="D163" t="str">
            <v>여</v>
          </cell>
          <cell r="E163" t="str">
            <v>20000219</v>
          </cell>
          <cell r="F163" t="str">
            <v>26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DDI설계1팀</v>
          </cell>
        </row>
        <row r="164">
          <cell r="A164" t="str">
            <v>20000169</v>
          </cell>
          <cell r="B164" t="str">
            <v>이일수</v>
          </cell>
          <cell r="C164" t="str">
            <v>9512211070315</v>
          </cell>
          <cell r="D164" t="str">
            <v>남</v>
          </cell>
          <cell r="E164" t="str">
            <v>19951221</v>
          </cell>
          <cell r="F164" t="str">
            <v>31</v>
          </cell>
          <cell r="G164" t="str">
            <v>퇴직자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DDI설계1팀</v>
          </cell>
        </row>
        <row r="165">
          <cell r="A165" t="str">
            <v>20000170</v>
          </cell>
          <cell r="B165" t="str">
            <v>이호현</v>
          </cell>
          <cell r="C165" t="str">
            <v>9611291248014</v>
          </cell>
          <cell r="D165" t="str">
            <v>남</v>
          </cell>
          <cell r="E165" t="str">
            <v>19961129</v>
          </cell>
          <cell r="F165" t="str">
            <v>30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DDI설계2팀</v>
          </cell>
        </row>
        <row r="166">
          <cell r="A166" t="str">
            <v>20000171</v>
          </cell>
          <cell r="B166" t="str">
            <v>권기헌</v>
          </cell>
          <cell r="C166" t="str">
            <v>9611161034819</v>
          </cell>
          <cell r="D166" t="str">
            <v>남</v>
          </cell>
          <cell r="E166" t="str">
            <v>19961116</v>
          </cell>
          <cell r="F166" t="str">
            <v>30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DDI설계2팀</v>
          </cell>
        </row>
        <row r="167">
          <cell r="A167" t="str">
            <v>20000172</v>
          </cell>
          <cell r="B167" t="str">
            <v>박정은</v>
          </cell>
          <cell r="C167" t="str">
            <v>9907072200616</v>
          </cell>
          <cell r="D167" t="str">
            <v>여</v>
          </cell>
          <cell r="E167" t="str">
            <v>19990707</v>
          </cell>
          <cell r="F167" t="str">
            <v>27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DDI설계2팀</v>
          </cell>
        </row>
        <row r="168">
          <cell r="A168" t="str">
            <v>20000173</v>
          </cell>
          <cell r="B168" t="str">
            <v>백종대</v>
          </cell>
          <cell r="C168" t="str">
            <v>9311061169516</v>
          </cell>
          <cell r="D168" t="str">
            <v>남</v>
          </cell>
          <cell r="E168" t="str">
            <v>19931106</v>
          </cell>
          <cell r="F168" t="str">
            <v>33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계약</v>
          </cell>
          <cell r="L168" t="str">
            <v>피플팀</v>
          </cell>
        </row>
        <row r="169">
          <cell r="A169" t="str">
            <v>20000174</v>
          </cell>
          <cell r="B169" t="str">
            <v>김형필</v>
          </cell>
          <cell r="C169" t="str">
            <v>8711261303015</v>
          </cell>
          <cell r="D169" t="str">
            <v>남</v>
          </cell>
          <cell r="E169" t="str">
            <v>19871126</v>
          </cell>
          <cell r="F169" t="str">
            <v>39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DDI설계2팀</v>
          </cell>
        </row>
        <row r="170">
          <cell r="A170" t="str">
            <v>20000175</v>
          </cell>
          <cell r="B170" t="str">
            <v>김동균</v>
          </cell>
          <cell r="C170" t="str">
            <v>8201291063636</v>
          </cell>
          <cell r="D170" t="str">
            <v>남</v>
          </cell>
          <cell r="E170" t="str">
            <v>19820129</v>
          </cell>
          <cell r="F170" t="str">
            <v>44</v>
          </cell>
          <cell r="G170" t="str">
            <v>퇴직자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DDI설계2팀</v>
          </cell>
        </row>
        <row r="171">
          <cell r="A171" t="str">
            <v>20000176</v>
          </cell>
          <cell r="B171" t="str">
            <v>강의진</v>
          </cell>
          <cell r="C171" t="str">
            <v>9807032831227</v>
          </cell>
          <cell r="D171" t="str">
            <v>여</v>
          </cell>
          <cell r="E171" t="str">
            <v>19980703</v>
          </cell>
          <cell r="F171" t="str">
            <v>28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DDI설계2팀</v>
          </cell>
        </row>
        <row r="172">
          <cell r="A172" t="str">
            <v>20000177</v>
          </cell>
          <cell r="B172" t="str">
            <v>정영욱</v>
          </cell>
          <cell r="C172" t="str">
            <v>9312241052811</v>
          </cell>
          <cell r="D172" t="str">
            <v>남</v>
          </cell>
          <cell r="E172" t="str">
            <v>19931224</v>
          </cell>
          <cell r="F172" t="str">
            <v>33</v>
          </cell>
          <cell r="G172" t="str">
            <v>재직자</v>
          </cell>
          <cell r="H172" t="str">
            <v>판교</v>
          </cell>
          <cell r="I172"/>
          <cell r="J172"/>
          <cell r="K172" t="str">
            <v>기술사무</v>
          </cell>
          <cell r="L172" t="str">
            <v>피플팀</v>
          </cell>
        </row>
        <row r="173">
          <cell r="A173" t="str">
            <v>20000178</v>
          </cell>
          <cell r="B173" t="str">
            <v>이조운</v>
          </cell>
          <cell r="C173" t="str">
            <v>7808031057437</v>
          </cell>
          <cell r="D173" t="str">
            <v>남</v>
          </cell>
          <cell r="E173" t="str">
            <v>19780803</v>
          </cell>
          <cell r="F173" t="str">
            <v>48</v>
          </cell>
          <cell r="G173" t="str">
            <v>재직자</v>
          </cell>
          <cell r="H173" t="str">
            <v>판교</v>
          </cell>
          <cell r="I173"/>
          <cell r="J173"/>
          <cell r="K173" t="str">
            <v>기술사무</v>
          </cell>
          <cell r="L173" t="str">
            <v>ESD팀</v>
          </cell>
        </row>
        <row r="174">
          <cell r="A174" t="str">
            <v>20000179</v>
          </cell>
          <cell r="B174" t="str">
            <v>박원석</v>
          </cell>
          <cell r="C174" t="str">
            <v>8605211042015</v>
          </cell>
          <cell r="D174" t="str">
            <v>남</v>
          </cell>
          <cell r="E174" t="str">
            <v>19860521</v>
          </cell>
          <cell r="F174" t="str">
            <v>40</v>
          </cell>
          <cell r="G174" t="str">
            <v>재직자</v>
          </cell>
          <cell r="H174" t="str">
            <v>판교</v>
          </cell>
          <cell r="I174"/>
          <cell r="J174"/>
          <cell r="K174" t="str">
            <v>기술사무</v>
          </cell>
          <cell r="L174" t="str">
            <v>ESD팀</v>
          </cell>
        </row>
        <row r="175">
          <cell r="A175" t="str">
            <v>20000180</v>
          </cell>
          <cell r="B175" t="str">
            <v>김동욱</v>
          </cell>
          <cell r="C175" t="str">
            <v>9505061067211</v>
          </cell>
          <cell r="D175" t="str">
            <v>남</v>
          </cell>
          <cell r="E175" t="str">
            <v>19950506</v>
          </cell>
          <cell r="F175" t="str">
            <v>31</v>
          </cell>
          <cell r="G175" t="str">
            <v>재직자</v>
          </cell>
          <cell r="H175" t="str">
            <v>판교</v>
          </cell>
          <cell r="I175"/>
          <cell r="J175"/>
          <cell r="K175" t="str">
            <v>기술사무</v>
          </cell>
          <cell r="L175" t="str">
            <v>PMIC설계1팀</v>
          </cell>
        </row>
        <row r="176">
          <cell r="A176" t="str">
            <v>20000181</v>
          </cell>
          <cell r="B176" t="str">
            <v>이용준</v>
          </cell>
          <cell r="C176" t="str">
            <v>9704211163026</v>
          </cell>
          <cell r="D176" t="str">
            <v>남</v>
          </cell>
          <cell r="E176" t="str">
            <v>19970421</v>
          </cell>
          <cell r="F176" t="str">
            <v>29</v>
          </cell>
          <cell r="G176" t="str">
            <v>재직자</v>
          </cell>
          <cell r="H176" t="str">
            <v>판교</v>
          </cell>
          <cell r="I176"/>
          <cell r="J176"/>
          <cell r="K176" t="str">
            <v>기술사무</v>
          </cell>
          <cell r="L176" t="str">
            <v>DDI설계2팀</v>
          </cell>
        </row>
        <row r="177">
          <cell r="A177" t="str">
            <v>20000182</v>
          </cell>
          <cell r="B177" t="str">
            <v>진유남</v>
          </cell>
          <cell r="C177" t="str">
            <v>9711222108516</v>
          </cell>
          <cell r="D177" t="str">
            <v>여</v>
          </cell>
          <cell r="E177" t="str">
            <v>19971122</v>
          </cell>
          <cell r="F177" t="str">
            <v>29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PMIC설계1팀</v>
          </cell>
        </row>
        <row r="178">
          <cell r="A178" t="str">
            <v>20000183</v>
          </cell>
          <cell r="B178" t="str">
            <v>공수현</v>
          </cell>
          <cell r="C178" t="str">
            <v>8311191344215</v>
          </cell>
          <cell r="D178" t="str">
            <v>남</v>
          </cell>
          <cell r="E178" t="str">
            <v>19831119</v>
          </cell>
          <cell r="F178" t="str">
            <v>43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제품기술팀</v>
          </cell>
        </row>
        <row r="179">
          <cell r="A179" t="str">
            <v>20000184</v>
          </cell>
          <cell r="B179" t="str">
            <v>김세호</v>
          </cell>
          <cell r="C179" t="str">
            <v>8901175920068</v>
          </cell>
          <cell r="D179" t="str">
            <v>남</v>
          </cell>
          <cell r="E179" t="str">
            <v>19890117</v>
          </cell>
          <cell r="F179" t="str">
            <v>37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DDI설계1팀</v>
          </cell>
        </row>
        <row r="180">
          <cell r="A180" t="str">
            <v>20000185</v>
          </cell>
          <cell r="B180" t="str">
            <v>조준형</v>
          </cell>
          <cell r="C180" t="str">
            <v>9501091171419</v>
          </cell>
          <cell r="D180" t="str">
            <v>남</v>
          </cell>
          <cell r="E180" t="str">
            <v>19950109</v>
          </cell>
          <cell r="F180" t="str">
            <v>31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DDI설계2팀</v>
          </cell>
        </row>
        <row r="181">
          <cell r="A181" t="str">
            <v>20000186</v>
          </cell>
          <cell r="B181" t="str">
            <v>변승찬</v>
          </cell>
          <cell r="C181" t="str">
            <v>7702131149419</v>
          </cell>
          <cell r="D181" t="str">
            <v>남</v>
          </cell>
          <cell r="E181" t="str">
            <v>19770213</v>
          </cell>
          <cell r="F181" t="str">
            <v>49</v>
          </cell>
          <cell r="G181" t="str">
            <v>재직자</v>
          </cell>
          <cell r="H181" t="str">
            <v>판교</v>
          </cell>
          <cell r="I181"/>
          <cell r="J181"/>
          <cell r="K181" t="str">
            <v>기술사무</v>
          </cell>
          <cell r="L181" t="str">
            <v>DDI설계2팀</v>
          </cell>
        </row>
        <row r="182">
          <cell r="A182" t="str">
            <v>20000187</v>
          </cell>
          <cell r="B182" t="str">
            <v>박찬호</v>
          </cell>
          <cell r="C182" t="str">
            <v>6401025100376</v>
          </cell>
          <cell r="D182" t="str">
            <v>남</v>
          </cell>
          <cell r="E182" t="str">
            <v>19640102</v>
          </cell>
          <cell r="F182" t="str">
            <v>62</v>
          </cell>
          <cell r="G182" t="str">
            <v>재직자</v>
          </cell>
          <cell r="H182" t="str">
            <v>판교</v>
          </cell>
          <cell r="I182"/>
          <cell r="J182"/>
          <cell r="K182" t="str">
            <v>임원</v>
          </cell>
          <cell r="L182" t="str">
            <v>DB글로벌칩</v>
          </cell>
        </row>
        <row r="183">
          <cell r="A183" t="str">
            <v>20000188</v>
          </cell>
          <cell r="B183" t="str">
            <v>김병용</v>
          </cell>
          <cell r="C183" t="str">
            <v>8408271350819</v>
          </cell>
          <cell r="D183" t="str">
            <v>남</v>
          </cell>
          <cell r="E183" t="str">
            <v>19840827</v>
          </cell>
          <cell r="F183" t="str">
            <v>42</v>
          </cell>
          <cell r="G183" t="str">
            <v>재직자</v>
          </cell>
          <cell r="H183" t="str">
            <v>판교</v>
          </cell>
          <cell r="I183"/>
          <cell r="J183"/>
          <cell r="K183" t="str">
            <v>기술사무</v>
          </cell>
          <cell r="L183" t="str">
            <v>DDI설계2팀</v>
          </cell>
        </row>
        <row r="184">
          <cell r="A184" t="str">
            <v>20000189</v>
          </cell>
          <cell r="B184" t="str">
            <v>이태호</v>
          </cell>
          <cell r="C184" t="str">
            <v>9509181025628</v>
          </cell>
          <cell r="D184" t="str">
            <v>남</v>
          </cell>
          <cell r="E184" t="str">
            <v>19950918</v>
          </cell>
          <cell r="F184" t="str">
            <v>31</v>
          </cell>
          <cell r="G184" t="str">
            <v>재직자</v>
          </cell>
          <cell r="H184" t="str">
            <v>판교</v>
          </cell>
          <cell r="I184"/>
          <cell r="J184"/>
          <cell r="K184" t="str">
            <v>기술사무</v>
          </cell>
          <cell r="L184" t="str">
            <v>Layout팀</v>
          </cell>
        </row>
        <row r="185">
          <cell r="A185" t="str">
            <v>20000190</v>
          </cell>
          <cell r="B185" t="str">
            <v>최윤서</v>
          </cell>
          <cell r="C185" t="str">
            <v>9808262209210</v>
          </cell>
          <cell r="D185" t="str">
            <v>여</v>
          </cell>
          <cell r="E185" t="str">
            <v>19980826</v>
          </cell>
          <cell r="F185" t="str">
            <v>28</v>
          </cell>
          <cell r="G185" t="str">
            <v>재직자</v>
          </cell>
          <cell r="H185" t="str">
            <v>판교</v>
          </cell>
          <cell r="I185"/>
          <cell r="J185"/>
          <cell r="K185" t="str">
            <v>기술사무</v>
          </cell>
          <cell r="L185" t="str">
            <v>ESD팀</v>
          </cell>
        </row>
        <row r="186">
          <cell r="A186" t="str">
            <v>20000191</v>
          </cell>
          <cell r="B186" t="str">
            <v>육흥섭</v>
          </cell>
          <cell r="C186" t="str">
            <v>8902091149739</v>
          </cell>
          <cell r="D186" t="str">
            <v>남</v>
          </cell>
          <cell r="E186" t="str">
            <v>19890209</v>
          </cell>
          <cell r="F186" t="str">
            <v>37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품질팀</v>
          </cell>
        </row>
        <row r="187">
          <cell r="A187" t="str">
            <v>20000192</v>
          </cell>
          <cell r="B187" t="str">
            <v>이민수</v>
          </cell>
          <cell r="C187" t="str">
            <v>9501221150221</v>
          </cell>
          <cell r="D187" t="str">
            <v>남</v>
          </cell>
          <cell r="E187" t="str">
            <v>19950122</v>
          </cell>
          <cell r="F187" t="str">
            <v>31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품질팀</v>
          </cell>
        </row>
        <row r="188">
          <cell r="A188" t="str">
            <v>20000193</v>
          </cell>
          <cell r="B188" t="str">
            <v>허용무</v>
          </cell>
          <cell r="C188" t="str">
            <v>8106081520318</v>
          </cell>
          <cell r="D188" t="str">
            <v>남</v>
          </cell>
          <cell r="E188" t="str">
            <v>19810608</v>
          </cell>
          <cell r="F188" t="str">
            <v>45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제품기술팀</v>
          </cell>
        </row>
        <row r="189">
          <cell r="A189" t="str">
            <v>20000194</v>
          </cell>
          <cell r="B189" t="str">
            <v>정민혜</v>
          </cell>
          <cell r="C189" t="str">
            <v>0001034056322</v>
          </cell>
          <cell r="D189" t="str">
            <v>여</v>
          </cell>
          <cell r="E189" t="str">
            <v>20000103</v>
          </cell>
          <cell r="F189" t="str">
            <v>26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DDI설계2팀</v>
          </cell>
        </row>
        <row r="190">
          <cell r="A190" t="str">
            <v>20000195</v>
          </cell>
          <cell r="B190" t="str">
            <v>이수연</v>
          </cell>
          <cell r="C190" t="str">
            <v>0207184520318</v>
          </cell>
          <cell r="D190" t="str">
            <v>여</v>
          </cell>
          <cell r="E190" t="str">
            <v>20020718</v>
          </cell>
          <cell r="F190" t="str">
            <v>24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계약</v>
          </cell>
          <cell r="L190" t="str">
            <v>장애인 선수단</v>
          </cell>
        </row>
        <row r="191">
          <cell r="A191" t="str">
            <v>20000196</v>
          </cell>
          <cell r="B191" t="str">
            <v>이지영</v>
          </cell>
          <cell r="C191" t="str">
            <v>8009212080516</v>
          </cell>
          <cell r="D191" t="str">
            <v>여</v>
          </cell>
          <cell r="E191" t="str">
            <v>19800921</v>
          </cell>
          <cell r="F191" t="str">
            <v>46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계약</v>
          </cell>
          <cell r="L191" t="str">
            <v>장애인 선수단</v>
          </cell>
        </row>
        <row r="192">
          <cell r="A192" t="str">
            <v>20000197</v>
          </cell>
          <cell r="B192" t="str">
            <v>유소연</v>
          </cell>
          <cell r="C192" t="str">
            <v>9505212163313</v>
          </cell>
          <cell r="D192" t="str">
            <v>여</v>
          </cell>
          <cell r="E192" t="str">
            <v>19950521</v>
          </cell>
          <cell r="F192" t="str">
            <v>31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피플팀</v>
          </cell>
        </row>
        <row r="193">
          <cell r="A193" t="str">
            <v>20000199</v>
          </cell>
          <cell r="B193" t="str">
            <v>정성권</v>
          </cell>
          <cell r="C193" t="str">
            <v>9208131031114</v>
          </cell>
          <cell r="D193" t="str">
            <v>남</v>
          </cell>
          <cell r="E193" t="str">
            <v>19920813</v>
          </cell>
          <cell r="F193" t="str">
            <v>34</v>
          </cell>
          <cell r="G193" t="str">
            <v>퇴직자</v>
          </cell>
          <cell r="H193" t="str">
            <v>판교</v>
          </cell>
          <cell r="I193"/>
          <cell r="J193"/>
          <cell r="K193" t="str">
            <v>기술사무</v>
          </cell>
          <cell r="L193" t="str">
            <v>ESD팀</v>
          </cell>
        </row>
        <row r="194">
          <cell r="A194" t="str">
            <v>20000200</v>
          </cell>
          <cell r="B194" t="str">
            <v>김기열</v>
          </cell>
          <cell r="C194" t="str">
            <v>9807131803213</v>
          </cell>
          <cell r="D194" t="str">
            <v>남</v>
          </cell>
          <cell r="E194" t="str">
            <v>19980713</v>
          </cell>
          <cell r="F194" t="str">
            <v>28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DDI설계1팀</v>
          </cell>
        </row>
        <row r="195">
          <cell r="A195" t="str">
            <v>20000204</v>
          </cell>
          <cell r="B195" t="str">
            <v>정세민</v>
          </cell>
          <cell r="C195" t="str">
            <v>9808211711517</v>
          </cell>
          <cell r="D195" t="str">
            <v>남</v>
          </cell>
          <cell r="E195" t="str">
            <v>19980821</v>
          </cell>
          <cell r="F195" t="str">
            <v>28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DDI설계1팀</v>
          </cell>
        </row>
        <row r="196">
          <cell r="A196" t="str">
            <v>20000205</v>
          </cell>
          <cell r="B196" t="str">
            <v>이준민</v>
          </cell>
          <cell r="C196" t="str">
            <v>9603221199847</v>
          </cell>
          <cell r="D196" t="str">
            <v>남</v>
          </cell>
          <cell r="E196" t="str">
            <v>19960322</v>
          </cell>
          <cell r="F196" t="str">
            <v>30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DDI설계1팀</v>
          </cell>
        </row>
        <row r="197">
          <cell r="A197" t="str">
            <v>20000206</v>
          </cell>
          <cell r="B197" t="str">
            <v>목정수</v>
          </cell>
          <cell r="C197" t="str">
            <v>9809291046819</v>
          </cell>
          <cell r="D197" t="str">
            <v>남</v>
          </cell>
          <cell r="E197" t="str">
            <v>19980929</v>
          </cell>
          <cell r="F197" t="str">
            <v>28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DDI설계1팀</v>
          </cell>
        </row>
        <row r="198">
          <cell r="A198" t="str">
            <v>20000207</v>
          </cell>
          <cell r="B198" t="str">
            <v>한시연</v>
          </cell>
          <cell r="C198" t="str">
            <v>0010244094212</v>
          </cell>
          <cell r="D198" t="str">
            <v>여</v>
          </cell>
          <cell r="E198" t="str">
            <v>20001024</v>
          </cell>
          <cell r="F198" t="str">
            <v>26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DDI설계2팀</v>
          </cell>
        </row>
        <row r="199">
          <cell r="A199" t="str">
            <v>20000208</v>
          </cell>
          <cell r="B199" t="str">
            <v>최효정</v>
          </cell>
          <cell r="C199" t="str">
            <v>9803162127111</v>
          </cell>
          <cell r="D199" t="str">
            <v>여</v>
          </cell>
          <cell r="E199" t="str">
            <v>19980316</v>
          </cell>
          <cell r="F199" t="str">
            <v>28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기술사무</v>
          </cell>
          <cell r="L199" t="str">
            <v>DDI설계2팀</v>
          </cell>
        </row>
        <row r="200">
          <cell r="A200" t="str">
            <v>20000209</v>
          </cell>
          <cell r="B200" t="str">
            <v>김봉수</v>
          </cell>
          <cell r="C200" t="str">
            <v>9610241407911</v>
          </cell>
          <cell r="D200" t="str">
            <v>남</v>
          </cell>
          <cell r="E200" t="str">
            <v>19961024</v>
          </cell>
          <cell r="F200" t="str">
            <v>30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기술사무</v>
          </cell>
          <cell r="L200" t="str">
            <v>DDI설계2팀</v>
          </cell>
        </row>
        <row r="201">
          <cell r="A201" t="str">
            <v>20000210</v>
          </cell>
          <cell r="B201" t="str">
            <v>한유리</v>
          </cell>
          <cell r="C201" t="str">
            <v>9906242685254</v>
          </cell>
          <cell r="D201" t="str">
            <v>여</v>
          </cell>
          <cell r="E201" t="str">
            <v>19990624</v>
          </cell>
          <cell r="F201" t="str">
            <v>27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PMIC설계1팀</v>
          </cell>
        </row>
        <row r="202">
          <cell r="A202" t="str">
            <v>20000211</v>
          </cell>
          <cell r="B202" t="str">
            <v>김채원</v>
          </cell>
          <cell r="C202" t="str">
            <v>9310061077213</v>
          </cell>
          <cell r="D202" t="str">
            <v>남</v>
          </cell>
          <cell r="E202" t="str">
            <v>19931006</v>
          </cell>
          <cell r="F202" t="str">
            <v>33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PMIC설계1팀</v>
          </cell>
        </row>
        <row r="203">
          <cell r="A203" t="str">
            <v>20000213</v>
          </cell>
          <cell r="B203" t="str">
            <v>주유진</v>
          </cell>
          <cell r="C203" t="str">
            <v>9504262051910</v>
          </cell>
          <cell r="D203" t="str">
            <v>여</v>
          </cell>
          <cell r="E203" t="str">
            <v>19950426</v>
          </cell>
          <cell r="F203" t="str">
            <v>31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재무관리팀</v>
          </cell>
        </row>
        <row r="204">
          <cell r="A204" t="str">
            <v>20000214</v>
          </cell>
          <cell r="B204" t="str">
            <v>문보영</v>
          </cell>
          <cell r="C204" t="str">
            <v>7909121637318</v>
          </cell>
          <cell r="D204" t="str">
            <v>남</v>
          </cell>
          <cell r="E204" t="str">
            <v>19790912</v>
          </cell>
          <cell r="F204" t="str">
            <v>47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영업팀</v>
          </cell>
        </row>
        <row r="205">
          <cell r="A205" t="str">
            <v>20000215</v>
          </cell>
          <cell r="B205" t="str">
            <v>이광수</v>
          </cell>
          <cell r="C205" t="str">
            <v>7106011540919</v>
          </cell>
          <cell r="D205" t="str">
            <v>남</v>
          </cell>
          <cell r="E205" t="str">
            <v>19710601</v>
          </cell>
          <cell r="F205" t="str">
            <v>55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영업팀</v>
          </cell>
        </row>
        <row r="206">
          <cell r="A206" t="str">
            <v>20000216</v>
          </cell>
          <cell r="B206" t="str">
            <v>황준우</v>
          </cell>
          <cell r="C206" t="str">
            <v>9511211034818</v>
          </cell>
          <cell r="D206" t="str">
            <v>남</v>
          </cell>
          <cell r="E206" t="str">
            <v>19951121</v>
          </cell>
          <cell r="F206" t="str">
            <v>31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Layout팀</v>
          </cell>
        </row>
        <row r="207">
          <cell r="A207" t="str">
            <v>20000217</v>
          </cell>
          <cell r="B207" t="str">
            <v>진현우</v>
          </cell>
          <cell r="C207" t="str">
            <v>9002281052017</v>
          </cell>
          <cell r="D207" t="str">
            <v>남</v>
          </cell>
          <cell r="E207" t="str">
            <v>19900228</v>
          </cell>
          <cell r="F207" t="str">
            <v>36</v>
          </cell>
          <cell r="G207" t="str">
            <v>재직자</v>
          </cell>
          <cell r="H207" t="str">
            <v>판교</v>
          </cell>
          <cell r="I207"/>
          <cell r="J207"/>
          <cell r="K207" t="str">
            <v>기술사무</v>
          </cell>
          <cell r="L207" t="str">
            <v>DDI설계2팀</v>
          </cell>
        </row>
        <row r="208">
          <cell r="A208" t="str">
            <v>20000218</v>
          </cell>
          <cell r="B208" t="str">
            <v>최재봉</v>
          </cell>
          <cell r="C208" t="str">
            <v>8709161391210</v>
          </cell>
          <cell r="D208" t="str">
            <v>남</v>
          </cell>
          <cell r="E208" t="str">
            <v>19870916</v>
          </cell>
          <cell r="F208" t="str">
            <v>39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기술사무</v>
          </cell>
          <cell r="L208" t="str">
            <v>DDI설계3팀</v>
          </cell>
        </row>
        <row r="209">
          <cell r="A209" t="str">
            <v>20000219</v>
          </cell>
          <cell r="B209" t="str">
            <v>이상우</v>
          </cell>
          <cell r="C209" t="str">
            <v>9106221143517</v>
          </cell>
          <cell r="D209" t="str">
            <v>남</v>
          </cell>
          <cell r="E209" t="str">
            <v>19910622</v>
          </cell>
          <cell r="F209" t="str">
            <v>35</v>
          </cell>
          <cell r="G209" t="str">
            <v>재직자</v>
          </cell>
          <cell r="H209" t="str">
            <v>판교</v>
          </cell>
          <cell r="I209"/>
          <cell r="J209"/>
          <cell r="K209" t="str">
            <v>기술사무</v>
          </cell>
          <cell r="L209" t="str">
            <v>DDI설계2팀</v>
          </cell>
        </row>
        <row r="210">
          <cell r="A210" t="str">
            <v>20000220</v>
          </cell>
          <cell r="B210" t="str">
            <v>박휘수</v>
          </cell>
          <cell r="C210" t="str">
            <v>9406061167510</v>
          </cell>
          <cell r="D210" t="str">
            <v>남</v>
          </cell>
          <cell r="E210" t="str">
            <v>19940606</v>
          </cell>
          <cell r="F210" t="str">
            <v>32</v>
          </cell>
          <cell r="G210" t="str">
            <v>재직자</v>
          </cell>
          <cell r="H210" t="str">
            <v>판교</v>
          </cell>
          <cell r="I210"/>
          <cell r="J210"/>
          <cell r="K210" t="str">
            <v>기술사무</v>
          </cell>
          <cell r="L210" t="str">
            <v>DDI설계2팀</v>
          </cell>
        </row>
        <row r="211">
          <cell r="A211" t="str">
            <v>20000222</v>
          </cell>
          <cell r="B211" t="str">
            <v>전현진</v>
          </cell>
          <cell r="C211" t="str">
            <v>8602251063920</v>
          </cell>
          <cell r="D211" t="str">
            <v>남</v>
          </cell>
          <cell r="E211" t="str">
            <v>19860225</v>
          </cell>
          <cell r="F211" t="str">
            <v>40</v>
          </cell>
          <cell r="G211" t="str">
            <v>퇴직자</v>
          </cell>
          <cell r="H211" t="str">
            <v>판교</v>
          </cell>
          <cell r="I211"/>
          <cell r="J211"/>
          <cell r="K211" t="str">
            <v>기술사무</v>
          </cell>
          <cell r="L211" t="str">
            <v>PMIC설계1팀</v>
          </cell>
        </row>
        <row r="212">
          <cell r="A212" t="str">
            <v>20000223</v>
          </cell>
          <cell r="B212" t="str">
            <v>김영웅</v>
          </cell>
          <cell r="C212" t="str">
            <v>9910191183918</v>
          </cell>
          <cell r="D212" t="str">
            <v>남</v>
          </cell>
          <cell r="E212" t="str">
            <v>19991019</v>
          </cell>
          <cell r="F212" t="str">
            <v>27</v>
          </cell>
          <cell r="G212" t="str">
            <v>재직자</v>
          </cell>
          <cell r="H212" t="str">
            <v>판교</v>
          </cell>
          <cell r="I212"/>
          <cell r="J212"/>
          <cell r="K212" t="str">
            <v>기술사무</v>
          </cell>
          <cell r="L212" t="str">
            <v>Layout팀</v>
          </cell>
        </row>
        <row r="213">
          <cell r="A213" t="str">
            <v>20000224</v>
          </cell>
          <cell r="B213" t="str">
            <v>이명학</v>
          </cell>
          <cell r="C213" t="str">
            <v>9001181392816</v>
          </cell>
          <cell r="D213" t="str">
            <v>남</v>
          </cell>
          <cell r="E213" t="str">
            <v>19900118</v>
          </cell>
          <cell r="F213" t="str">
            <v>36</v>
          </cell>
          <cell r="G213" t="str">
            <v>재직자</v>
          </cell>
          <cell r="H213" t="str">
            <v>판교</v>
          </cell>
          <cell r="I213"/>
          <cell r="J213"/>
          <cell r="K213" t="str">
            <v>기술사무</v>
          </cell>
          <cell r="L213" t="str">
            <v>DDI설계2팀</v>
          </cell>
        </row>
        <row r="214">
          <cell r="A214" t="str">
            <v>20000225</v>
          </cell>
          <cell r="B214" t="str">
            <v>김대봉</v>
          </cell>
          <cell r="C214" t="str">
            <v>6904151633111</v>
          </cell>
          <cell r="D214" t="str">
            <v>남</v>
          </cell>
          <cell r="E214" t="str">
            <v>19690415</v>
          </cell>
          <cell r="F214" t="str">
            <v>57</v>
          </cell>
          <cell r="G214" t="str">
            <v>재직자</v>
          </cell>
          <cell r="H214" t="str">
            <v>판교</v>
          </cell>
          <cell r="I214"/>
          <cell r="J214"/>
          <cell r="K214" t="str">
            <v>기술사무</v>
          </cell>
          <cell r="L214" t="str">
            <v>PMIC사업담당</v>
          </cell>
        </row>
        <row r="215">
          <cell r="A215" t="str">
            <v>20000227</v>
          </cell>
          <cell r="B215" t="str">
            <v>문경록</v>
          </cell>
          <cell r="C215" t="str">
            <v>7810121559231</v>
          </cell>
          <cell r="D215" t="str">
            <v>남</v>
          </cell>
          <cell r="E215" t="str">
            <v>19781012</v>
          </cell>
          <cell r="F215" t="str">
            <v>48</v>
          </cell>
          <cell r="G215" t="str">
            <v>재직자</v>
          </cell>
          <cell r="H215" t="str">
            <v>판교</v>
          </cell>
          <cell r="I215"/>
          <cell r="J215"/>
          <cell r="K215" t="str">
            <v>기술사무</v>
          </cell>
          <cell r="L215" t="str">
            <v>제품개발담당</v>
          </cell>
        </row>
        <row r="216">
          <cell r="A216" t="str">
            <v>20000228</v>
          </cell>
          <cell r="B216" t="str">
            <v>이동매</v>
          </cell>
          <cell r="C216" t="str">
            <v>9201236920102</v>
          </cell>
          <cell r="D216" t="str">
            <v>여</v>
          </cell>
          <cell r="E216" t="str">
            <v>19920123</v>
          </cell>
          <cell r="F216" t="str">
            <v>34</v>
          </cell>
          <cell r="G216" t="str">
            <v>재직자</v>
          </cell>
          <cell r="H216" t="str">
            <v>판교</v>
          </cell>
          <cell r="I216"/>
          <cell r="J216"/>
          <cell r="K216" t="str">
            <v>기술사무</v>
          </cell>
          <cell r="L216" t="str">
            <v>DDI마케팅파트</v>
          </cell>
        </row>
        <row r="217">
          <cell r="A217" t="str">
            <v>20000229</v>
          </cell>
          <cell r="B217" t="str">
            <v>최상신</v>
          </cell>
          <cell r="C217" t="str">
            <v>7210061639324</v>
          </cell>
          <cell r="D217" t="str">
            <v>남</v>
          </cell>
          <cell r="E217" t="str">
            <v>19721006</v>
          </cell>
          <cell r="F217" t="str">
            <v>54</v>
          </cell>
          <cell r="G217" t="str">
            <v>재직자</v>
          </cell>
          <cell r="H217" t="str">
            <v>판교</v>
          </cell>
          <cell r="I217"/>
          <cell r="J217"/>
          <cell r="K217" t="str">
            <v>기술사무</v>
          </cell>
          <cell r="L217" t="str">
            <v>DDI설계3팀</v>
          </cell>
        </row>
        <row r="218">
          <cell r="A218" t="str">
            <v>20000230</v>
          </cell>
          <cell r="B218" t="str">
            <v>박창선</v>
          </cell>
          <cell r="C218" t="str">
            <v>7311271481815</v>
          </cell>
          <cell r="D218" t="str">
            <v>남</v>
          </cell>
          <cell r="E218" t="str">
            <v>19731127</v>
          </cell>
          <cell r="F218" t="str">
            <v>53</v>
          </cell>
          <cell r="G218" t="str">
            <v>재직자</v>
          </cell>
          <cell r="H218" t="str">
            <v>판교</v>
          </cell>
          <cell r="I218"/>
          <cell r="J218"/>
          <cell r="K218" t="str">
            <v>기술사무</v>
          </cell>
          <cell r="L218" t="str">
            <v>DDI설계1팀</v>
          </cell>
        </row>
        <row r="219">
          <cell r="A219" t="str">
            <v>20000231</v>
          </cell>
          <cell r="B219" t="str">
            <v>김정현</v>
          </cell>
          <cell r="C219" t="str">
            <v>7702031058510</v>
          </cell>
          <cell r="D219" t="str">
            <v>남</v>
          </cell>
          <cell r="E219" t="str">
            <v>19770203</v>
          </cell>
          <cell r="F219" t="str">
            <v>49</v>
          </cell>
          <cell r="G219" t="str">
            <v>재직자</v>
          </cell>
          <cell r="H219" t="str">
            <v>판교</v>
          </cell>
          <cell r="I219"/>
          <cell r="J219"/>
          <cell r="K219" t="str">
            <v>기술사무</v>
          </cell>
          <cell r="L219" t="str">
            <v>PMIC설계1팀</v>
          </cell>
        </row>
        <row r="220">
          <cell r="A220" t="str">
            <v>20000232</v>
          </cell>
          <cell r="B220" t="str">
            <v>홍다솜</v>
          </cell>
          <cell r="C220" t="str">
            <v>9210042063214</v>
          </cell>
          <cell r="D220" t="str">
            <v>여</v>
          </cell>
          <cell r="E220" t="str">
            <v>19921004</v>
          </cell>
          <cell r="F220" t="str">
            <v>34</v>
          </cell>
          <cell r="G220" t="str">
            <v>재직자</v>
          </cell>
          <cell r="H220" t="str">
            <v>판교</v>
          </cell>
          <cell r="I220"/>
          <cell r="J220"/>
          <cell r="K220" t="str">
            <v>기술사무</v>
          </cell>
          <cell r="L220" t="str">
            <v>제품기술팀</v>
          </cell>
        </row>
        <row r="221">
          <cell r="A221" t="str">
            <v>20000233</v>
          </cell>
          <cell r="B221" t="str">
            <v>유세현</v>
          </cell>
          <cell r="C221" t="str">
            <v>9511041218710</v>
          </cell>
          <cell r="D221" t="str">
            <v>남</v>
          </cell>
          <cell r="E221" t="str">
            <v>19951104</v>
          </cell>
          <cell r="F221" t="str">
            <v>31</v>
          </cell>
          <cell r="G221" t="str">
            <v>재직자</v>
          </cell>
          <cell r="H221" t="str">
            <v>판교</v>
          </cell>
          <cell r="I221"/>
          <cell r="J221"/>
          <cell r="K221" t="str">
            <v>기술사무</v>
          </cell>
          <cell r="L221" t="str">
            <v>DDI설계1팀</v>
          </cell>
        </row>
        <row r="222">
          <cell r="A222" t="str">
            <v>20000234</v>
          </cell>
          <cell r="B222" t="str">
            <v>강희진</v>
          </cell>
          <cell r="C222" t="str">
            <v>9003232046120</v>
          </cell>
          <cell r="D222" t="str">
            <v>여</v>
          </cell>
          <cell r="E222" t="str">
            <v>19900323</v>
          </cell>
          <cell r="F222" t="str">
            <v>36</v>
          </cell>
          <cell r="G222" t="str">
            <v>퇴직자</v>
          </cell>
          <cell r="H222" t="str">
            <v>판교</v>
          </cell>
          <cell r="I222"/>
          <cell r="J222"/>
          <cell r="K222" t="str">
            <v>기술사무</v>
          </cell>
          <cell r="L222" t="str">
            <v>DDI설계1팀</v>
          </cell>
        </row>
        <row r="223">
          <cell r="A223" t="str">
            <v>20000235</v>
          </cell>
          <cell r="B223" t="str">
            <v>김윤종</v>
          </cell>
          <cell r="C223" t="str">
            <v>7406161011714</v>
          </cell>
          <cell r="D223" t="str">
            <v>남</v>
          </cell>
          <cell r="E223" t="str">
            <v>19740616</v>
          </cell>
          <cell r="F223" t="str">
            <v>52</v>
          </cell>
          <cell r="G223" t="str">
            <v>재직자</v>
          </cell>
          <cell r="H223" t="str">
            <v>판교</v>
          </cell>
          <cell r="I223"/>
          <cell r="J223"/>
          <cell r="K223" t="str">
            <v>기술사무</v>
          </cell>
          <cell r="L223" t="str">
            <v>DDI설계3팀</v>
          </cell>
        </row>
        <row r="224">
          <cell r="A224" t="str">
            <v>20000236</v>
          </cell>
          <cell r="B224" t="str">
            <v>이종수</v>
          </cell>
          <cell r="C224" t="str">
            <v>8201251351314</v>
          </cell>
          <cell r="D224" t="str">
            <v>남</v>
          </cell>
          <cell r="E224" t="str">
            <v>19820125</v>
          </cell>
          <cell r="F224" t="str">
            <v>44</v>
          </cell>
          <cell r="G224" t="str">
            <v>재직자</v>
          </cell>
          <cell r="H224" t="str">
            <v>판교</v>
          </cell>
          <cell r="I224"/>
          <cell r="J224"/>
          <cell r="K224" t="str">
            <v>기술사무</v>
          </cell>
          <cell r="L224" t="str">
            <v>DDI설계3팀</v>
          </cell>
        </row>
        <row r="225">
          <cell r="A225" t="str">
            <v>20000237</v>
          </cell>
          <cell r="B225" t="str">
            <v>전영준</v>
          </cell>
          <cell r="C225" t="str">
            <v>8908071163919</v>
          </cell>
          <cell r="D225" t="str">
            <v>남</v>
          </cell>
          <cell r="E225" t="str">
            <v>19890807</v>
          </cell>
          <cell r="F225" t="str">
            <v>37</v>
          </cell>
          <cell r="G225" t="str">
            <v>재직자</v>
          </cell>
          <cell r="H225" t="str">
            <v>판교</v>
          </cell>
          <cell r="I225"/>
          <cell r="J225"/>
          <cell r="K225" t="str">
            <v>기술사무</v>
          </cell>
          <cell r="L225" t="str">
            <v>DDI설계2팀</v>
          </cell>
        </row>
        <row r="226">
          <cell r="A226" t="str">
            <v>20000238</v>
          </cell>
          <cell r="B226" t="str">
            <v>이창배</v>
          </cell>
          <cell r="C226" t="str">
            <v>8908141398421</v>
          </cell>
          <cell r="D226" t="str">
            <v>남</v>
          </cell>
          <cell r="E226" t="str">
            <v>19890814</v>
          </cell>
          <cell r="F226" t="str">
            <v>37</v>
          </cell>
          <cell r="G226" t="str">
            <v>재직자</v>
          </cell>
          <cell r="H226" t="str">
            <v>판교</v>
          </cell>
          <cell r="I226"/>
          <cell r="J226"/>
          <cell r="K226" t="str">
            <v>기술사무</v>
          </cell>
          <cell r="L226" t="str">
            <v>DDI설계2팀</v>
          </cell>
        </row>
        <row r="227">
          <cell r="A227" t="str">
            <v>20000239</v>
          </cell>
          <cell r="B227" t="str">
            <v>신순연</v>
          </cell>
          <cell r="C227" t="str">
            <v>8606016760171</v>
          </cell>
          <cell r="D227" t="str">
            <v>여</v>
          </cell>
          <cell r="E227" t="str">
            <v>19860601</v>
          </cell>
          <cell r="F227" t="str">
            <v>40</v>
          </cell>
          <cell r="G227" t="str">
            <v>재직자</v>
          </cell>
          <cell r="H227" t="str">
            <v>중국</v>
          </cell>
          <cell r="I227" t="str">
            <v>심천</v>
          </cell>
          <cell r="J227"/>
          <cell r="K227" t="str">
            <v>기술사무</v>
          </cell>
          <cell r="L227" t="str">
            <v>영업팀</v>
          </cell>
        </row>
        <row r="228">
          <cell r="A228" t="str">
            <v>20000240</v>
          </cell>
          <cell r="B228" t="str">
            <v>김명관</v>
          </cell>
          <cell r="C228" t="str">
            <v>8005171480815</v>
          </cell>
          <cell r="D228" t="str">
            <v>남</v>
          </cell>
          <cell r="E228" t="str">
            <v>19800517</v>
          </cell>
          <cell r="F228" t="str">
            <v>46</v>
          </cell>
          <cell r="G228" t="str">
            <v>재직자</v>
          </cell>
          <cell r="H228" t="str">
            <v>중국</v>
          </cell>
          <cell r="I228" t="str">
            <v>심천</v>
          </cell>
          <cell r="J228"/>
          <cell r="K228" t="str">
            <v>기술사무</v>
          </cell>
          <cell r="L228" t="str">
            <v>영업팀</v>
          </cell>
        </row>
        <row r="229">
          <cell r="A229" t="str">
            <v>20000241</v>
          </cell>
          <cell r="B229" t="str">
            <v>ZhangLiang</v>
          </cell>
          <cell r="C229" t="str">
            <v>9912047111111</v>
          </cell>
          <cell r="D229" t="str">
            <v>남</v>
          </cell>
          <cell r="E229" t="str">
            <v>19991204</v>
          </cell>
          <cell r="F229" t="str">
            <v>27</v>
          </cell>
          <cell r="G229" t="str">
            <v>재직자</v>
          </cell>
          <cell r="H229" t="str">
            <v>중국</v>
          </cell>
          <cell r="I229" t="str">
            <v>심천</v>
          </cell>
          <cell r="J229" t="str">
            <v>현지직원</v>
          </cell>
          <cell r="K229" t="str">
            <v>기술사무</v>
          </cell>
          <cell r="L229" t="str">
            <v>영업팀</v>
          </cell>
        </row>
        <row r="230">
          <cell r="A230" t="str">
            <v>20000242</v>
          </cell>
          <cell r="B230" t="str">
            <v>LinJessie</v>
          </cell>
          <cell r="C230" t="str">
            <v>9301272222222</v>
          </cell>
          <cell r="D230" t="str">
            <v>여</v>
          </cell>
          <cell r="E230" t="str">
            <v>19930127</v>
          </cell>
          <cell r="F230" t="str">
            <v>33</v>
          </cell>
          <cell r="G230" t="str">
            <v>재직자</v>
          </cell>
          <cell r="H230" t="str">
            <v>중국</v>
          </cell>
          <cell r="I230" t="str">
            <v>심천</v>
          </cell>
          <cell r="J230" t="str">
            <v>현지직원</v>
          </cell>
          <cell r="K230" t="str">
            <v>기술사무</v>
          </cell>
          <cell r="L230" t="str">
            <v>영업팀</v>
          </cell>
        </row>
        <row r="231">
          <cell r="A231" t="str">
            <v>20000243</v>
          </cell>
          <cell r="B231" t="str">
            <v>PiaoMeiLing</v>
          </cell>
          <cell r="C231" t="str">
            <v>9105192222222</v>
          </cell>
          <cell r="D231" t="str">
            <v>여</v>
          </cell>
          <cell r="E231" t="str">
            <v>19910519</v>
          </cell>
          <cell r="F231" t="str">
            <v>35</v>
          </cell>
          <cell r="G231" t="str">
            <v>재직자</v>
          </cell>
          <cell r="H231" t="str">
            <v>중국</v>
          </cell>
          <cell r="I231" t="str">
            <v>심천</v>
          </cell>
          <cell r="J231" t="str">
            <v>현지직원</v>
          </cell>
          <cell r="K231" t="str">
            <v>기술사무</v>
          </cell>
          <cell r="L231" t="str">
            <v>영업팀</v>
          </cell>
        </row>
        <row r="232">
          <cell r="A232" t="str">
            <v>20000244</v>
          </cell>
          <cell r="B232" t="str">
            <v>손지윤</v>
          </cell>
          <cell r="C232" t="str">
            <v>9009261860448</v>
          </cell>
          <cell r="D232" t="str">
            <v>남</v>
          </cell>
          <cell r="E232" t="str">
            <v>19900926</v>
          </cell>
          <cell r="F232" t="str">
            <v>36</v>
          </cell>
          <cell r="G232" t="str">
            <v>재직자</v>
          </cell>
          <cell r="H232" t="str">
            <v>판교</v>
          </cell>
          <cell r="I232"/>
          <cell r="J232"/>
          <cell r="K232" t="str">
            <v>기술사무</v>
          </cell>
          <cell r="L232" t="str">
            <v>재무관리팀</v>
          </cell>
        </row>
        <row r="233">
          <cell r="A233" t="str">
            <v>20000245</v>
          </cell>
          <cell r="B233" t="str">
            <v>김보람</v>
          </cell>
          <cell r="C233" t="str">
            <v>8812192866017</v>
          </cell>
          <cell r="D233" t="str">
            <v>여</v>
          </cell>
          <cell r="E233" t="str">
            <v>19881219</v>
          </cell>
          <cell r="F233" t="str">
            <v>38</v>
          </cell>
          <cell r="G233" t="str">
            <v>퇴직자</v>
          </cell>
          <cell r="H233" t="str">
            <v>판교</v>
          </cell>
          <cell r="I233"/>
          <cell r="J233"/>
          <cell r="K233" t="str">
            <v>기술사무</v>
          </cell>
          <cell r="L233" t="str">
            <v>제품기술팀</v>
          </cell>
        </row>
        <row r="234">
          <cell r="A234" t="str">
            <v>20000246</v>
          </cell>
          <cell r="B234" t="str">
            <v>김창호</v>
          </cell>
          <cell r="C234" t="str">
            <v>8211261403122</v>
          </cell>
          <cell r="D234" t="str">
            <v>남</v>
          </cell>
          <cell r="E234" t="str">
            <v>19821126</v>
          </cell>
          <cell r="F234" t="str">
            <v>44</v>
          </cell>
          <cell r="G234" t="str">
            <v>재직자</v>
          </cell>
          <cell r="H234" t="str">
            <v>판교</v>
          </cell>
          <cell r="I234"/>
          <cell r="J234"/>
          <cell r="K234" t="str">
            <v>기술사무</v>
          </cell>
          <cell r="L234" t="str">
            <v>DDI설계3팀</v>
          </cell>
        </row>
        <row r="235">
          <cell r="A235" t="str">
            <v>20000247</v>
          </cell>
          <cell r="B235" t="str">
            <v>민경원</v>
          </cell>
          <cell r="C235" t="str">
            <v>7911281469312</v>
          </cell>
          <cell r="D235" t="str">
            <v>남</v>
          </cell>
          <cell r="E235" t="str">
            <v>19791128</v>
          </cell>
          <cell r="F235" t="str">
            <v>47</v>
          </cell>
          <cell r="G235" t="str">
            <v>재직자</v>
          </cell>
          <cell r="H235" t="str">
            <v>판교</v>
          </cell>
          <cell r="I235"/>
          <cell r="J235"/>
          <cell r="K235" t="str">
            <v>기술사무</v>
          </cell>
          <cell r="L235" t="str">
            <v>DDI설계3팀</v>
          </cell>
        </row>
        <row r="236">
          <cell r="A236" t="str">
            <v>20000248</v>
          </cell>
          <cell r="B236" t="str">
            <v>김창민</v>
          </cell>
          <cell r="C236" t="str">
            <v>7503301668811</v>
          </cell>
          <cell r="D236" t="str">
            <v>남</v>
          </cell>
          <cell r="E236" t="str">
            <v>19750330</v>
          </cell>
          <cell r="F236" t="str">
            <v>51</v>
          </cell>
          <cell r="G236" t="str">
            <v>재직자</v>
          </cell>
          <cell r="H236" t="str">
            <v>판교</v>
          </cell>
          <cell r="I236"/>
          <cell r="J236"/>
          <cell r="K236" t="str">
            <v>기술사무</v>
          </cell>
          <cell r="L236" t="str">
            <v>PMIC설계2팀</v>
          </cell>
        </row>
        <row r="237">
          <cell r="A237" t="str">
            <v>20000249</v>
          </cell>
          <cell r="B237" t="str">
            <v>윤상준</v>
          </cell>
          <cell r="C237" t="str">
            <v>9404161030313</v>
          </cell>
          <cell r="D237" t="str">
            <v>남</v>
          </cell>
          <cell r="E237" t="str">
            <v>19940416</v>
          </cell>
          <cell r="F237" t="str">
            <v>32</v>
          </cell>
          <cell r="G237" t="str">
            <v>재직자</v>
          </cell>
          <cell r="H237" t="str">
            <v>판교</v>
          </cell>
          <cell r="I237"/>
          <cell r="J237"/>
          <cell r="K237" t="str">
            <v>기술사무</v>
          </cell>
          <cell r="L237" t="str">
            <v>ESD팀</v>
          </cell>
        </row>
        <row r="238">
          <cell r="A238" t="str">
            <v>20000250</v>
          </cell>
          <cell r="B238" t="str">
            <v>조제광</v>
          </cell>
          <cell r="C238" t="str">
            <v>7507061683624</v>
          </cell>
          <cell r="D238" t="str">
            <v>남</v>
          </cell>
          <cell r="E238" t="str">
            <v>19750706</v>
          </cell>
          <cell r="F238" t="str">
            <v>51</v>
          </cell>
          <cell r="G238" t="str">
            <v>퇴직자</v>
          </cell>
          <cell r="H238" t="str">
            <v>판교</v>
          </cell>
          <cell r="I238"/>
          <cell r="J238"/>
          <cell r="K238" t="str">
            <v>기술사무</v>
          </cell>
          <cell r="L238" t="str">
            <v>PMIC설계1팀</v>
          </cell>
        </row>
        <row r="239">
          <cell r="A239" t="str">
            <v>20000251</v>
          </cell>
          <cell r="B239" t="str">
            <v>김관우</v>
          </cell>
          <cell r="C239" t="str">
            <v>9505021043120</v>
          </cell>
          <cell r="D239" t="str">
            <v>남</v>
          </cell>
          <cell r="E239" t="str">
            <v>19950502</v>
          </cell>
          <cell r="F239" t="str">
            <v>31</v>
          </cell>
          <cell r="G239" t="str">
            <v>재직자</v>
          </cell>
          <cell r="H239" t="str">
            <v>판교</v>
          </cell>
          <cell r="I239"/>
          <cell r="J239"/>
          <cell r="K239" t="str">
            <v>기술사무</v>
          </cell>
          <cell r="L239" t="str">
            <v>DDI설계2팀</v>
          </cell>
        </row>
        <row r="240">
          <cell r="A240" t="str">
            <v>20000252</v>
          </cell>
          <cell r="B240" t="str">
            <v>이원조</v>
          </cell>
          <cell r="C240" t="str">
            <v>9803161275026</v>
          </cell>
          <cell r="D240" t="str">
            <v>남</v>
          </cell>
          <cell r="E240" t="str">
            <v>19980316</v>
          </cell>
          <cell r="F240" t="str">
            <v>28</v>
          </cell>
          <cell r="G240" t="str">
            <v>재직자</v>
          </cell>
          <cell r="H240" t="str">
            <v>판교</v>
          </cell>
          <cell r="I240"/>
          <cell r="J240"/>
          <cell r="K240" t="str">
            <v>기술사무</v>
          </cell>
          <cell r="L240" t="str">
            <v>DDI설계3팀</v>
          </cell>
        </row>
        <row r="241">
          <cell r="A241" t="str">
            <v>20000253</v>
          </cell>
          <cell r="B241" t="str">
            <v>LinWeiJian</v>
          </cell>
          <cell r="C241" t="str">
            <v>9912215555555</v>
          </cell>
          <cell r="D241" t="str">
            <v>남</v>
          </cell>
          <cell r="E241" t="str">
            <v>19991221</v>
          </cell>
          <cell r="F241" t="str">
            <v>27</v>
          </cell>
          <cell r="G241" t="str">
            <v>재직자</v>
          </cell>
          <cell r="H241" t="str">
            <v>중국</v>
          </cell>
          <cell r="I241" t="str">
            <v>심천</v>
          </cell>
          <cell r="J241" t="str">
            <v>현지직원</v>
          </cell>
          <cell r="K241" t="str">
            <v>기술사무</v>
          </cell>
          <cell r="L241" t="str">
            <v>영업팀</v>
          </cell>
        </row>
        <row r="242">
          <cell r="A242" t="str">
            <v>20000254</v>
          </cell>
          <cell r="B242" t="str">
            <v>신정우</v>
          </cell>
          <cell r="C242" t="str">
            <v>9010121076716</v>
          </cell>
          <cell r="D242" t="str">
            <v>남</v>
          </cell>
          <cell r="E242" t="str">
            <v>19901012</v>
          </cell>
          <cell r="F242" t="str">
            <v>36</v>
          </cell>
          <cell r="G242" t="str">
            <v>재직자</v>
          </cell>
          <cell r="H242" t="str">
            <v>판교</v>
          </cell>
          <cell r="I242"/>
          <cell r="J242"/>
          <cell r="K242" t="str">
            <v>기술사무</v>
          </cell>
          <cell r="L242" t="str">
            <v>PMIC설계2팀</v>
          </cell>
        </row>
        <row r="243">
          <cell r="A243" t="str">
            <v>20000255</v>
          </cell>
          <cell r="B243" t="str">
            <v>현필수</v>
          </cell>
          <cell r="C243" t="str">
            <v>8006201226212</v>
          </cell>
          <cell r="D243" t="str">
            <v>남</v>
          </cell>
          <cell r="E243" t="str">
            <v>19800620</v>
          </cell>
          <cell r="F243" t="str">
            <v>46</v>
          </cell>
          <cell r="G243" t="str">
            <v>재직자</v>
          </cell>
          <cell r="H243" t="str">
            <v>판교</v>
          </cell>
          <cell r="I243"/>
          <cell r="J243"/>
          <cell r="K243" t="str">
            <v>기술사무</v>
          </cell>
          <cell r="L243" t="str">
            <v>PMIC설계2팀</v>
          </cell>
        </row>
        <row r="244">
          <cell r="A244" t="str">
            <v>20000256</v>
          </cell>
          <cell r="B244" t="str">
            <v>안민영</v>
          </cell>
          <cell r="C244" t="str">
            <v>8009201167628</v>
          </cell>
          <cell r="D244" t="str">
            <v>남</v>
          </cell>
          <cell r="E244" t="str">
            <v>19800920</v>
          </cell>
          <cell r="F244" t="str">
            <v>46</v>
          </cell>
          <cell r="G244" t="str">
            <v>재직자</v>
          </cell>
          <cell r="H244" t="str">
            <v>판교</v>
          </cell>
          <cell r="I244"/>
          <cell r="J244"/>
          <cell r="K244" t="str">
            <v>기술사무</v>
          </cell>
          <cell r="L244" t="str">
            <v>PMIC설계2팀</v>
          </cell>
        </row>
        <row r="245">
          <cell r="A245" t="str">
            <v>20000257</v>
          </cell>
          <cell r="B245" t="str">
            <v>허영건</v>
          </cell>
          <cell r="C245" t="str">
            <v>7504261932213</v>
          </cell>
          <cell r="D245" t="str">
            <v>남</v>
          </cell>
          <cell r="E245" t="str">
            <v>19750426</v>
          </cell>
          <cell r="F245" t="str">
            <v>51</v>
          </cell>
          <cell r="G245" t="str">
            <v>재직자</v>
          </cell>
          <cell r="H245" t="str">
            <v>판교</v>
          </cell>
          <cell r="I245"/>
          <cell r="J245"/>
          <cell r="K245" t="str">
            <v>기술사무</v>
          </cell>
          <cell r="L245" t="str">
            <v>PMIC설계2팀</v>
          </cell>
        </row>
        <row r="246">
          <cell r="A246" t="str">
            <v>20000258</v>
          </cell>
          <cell r="B246" t="str">
            <v>황영승</v>
          </cell>
          <cell r="C246" t="str">
            <v>7501171674015</v>
          </cell>
          <cell r="D246" t="str">
            <v>남</v>
          </cell>
          <cell r="E246" t="str">
            <v>19750117</v>
          </cell>
          <cell r="F246" t="str">
            <v>51</v>
          </cell>
          <cell r="G246" t="str">
            <v>재직자</v>
          </cell>
          <cell r="H246" t="str">
            <v>판교</v>
          </cell>
          <cell r="I246"/>
          <cell r="J246"/>
          <cell r="K246" t="str">
            <v>기술사무</v>
          </cell>
          <cell r="L246" t="str">
            <v>PMIC설계2팀</v>
          </cell>
        </row>
        <row r="247">
          <cell r="A247" t="str">
            <v>20000259</v>
          </cell>
          <cell r="B247" t="str">
            <v>이지용</v>
          </cell>
          <cell r="C247" t="str">
            <v>8703081846011</v>
          </cell>
          <cell r="D247" t="str">
            <v>남</v>
          </cell>
          <cell r="E247" t="str">
            <v>19870308</v>
          </cell>
          <cell r="F247" t="str">
            <v>39</v>
          </cell>
          <cell r="G247" t="str">
            <v>재직자</v>
          </cell>
          <cell r="H247" t="str">
            <v>판교</v>
          </cell>
          <cell r="I247"/>
          <cell r="J247"/>
          <cell r="K247" t="str">
            <v>기술사무</v>
          </cell>
          <cell r="L247" t="str">
            <v>DDI설계3팀</v>
          </cell>
        </row>
        <row r="248">
          <cell r="A248" t="str">
            <v>20000260</v>
          </cell>
          <cell r="B248" t="str">
            <v>조성훈</v>
          </cell>
          <cell r="C248" t="str">
            <v>8612061037611</v>
          </cell>
          <cell r="D248" t="str">
            <v>남</v>
          </cell>
          <cell r="E248" t="str">
            <v>19861206</v>
          </cell>
          <cell r="F248" t="str">
            <v>40</v>
          </cell>
          <cell r="G248" t="str">
            <v>재직자</v>
          </cell>
          <cell r="H248" t="str">
            <v>판교</v>
          </cell>
          <cell r="I248"/>
          <cell r="J248"/>
          <cell r="K248" t="str">
            <v>기술사무</v>
          </cell>
          <cell r="L248" t="str">
            <v>DDI설계1팀</v>
          </cell>
        </row>
        <row r="249">
          <cell r="A249" t="str">
            <v>20000261</v>
          </cell>
          <cell r="B249" t="str">
            <v>이영진</v>
          </cell>
          <cell r="C249" t="str">
            <v>7707181822313</v>
          </cell>
          <cell r="D249" t="str">
            <v>남</v>
          </cell>
          <cell r="E249" t="str">
            <v>19770718</v>
          </cell>
          <cell r="F249" t="str">
            <v>49</v>
          </cell>
          <cell r="G249" t="str">
            <v>재직자</v>
          </cell>
          <cell r="H249" t="str">
            <v>판교</v>
          </cell>
          <cell r="I249"/>
          <cell r="J249"/>
          <cell r="K249" t="str">
            <v>기술사무</v>
          </cell>
          <cell r="L249" t="str">
            <v>PMIC설계2팀</v>
          </cell>
        </row>
        <row r="250">
          <cell r="A250" t="str">
            <v>20000262</v>
          </cell>
          <cell r="B250" t="str">
            <v>김도원</v>
          </cell>
          <cell r="C250" t="str">
            <v>9411091268615</v>
          </cell>
          <cell r="D250" t="str">
            <v>남</v>
          </cell>
          <cell r="E250" t="str">
            <v>19941109</v>
          </cell>
          <cell r="F250" t="str">
            <v>32</v>
          </cell>
          <cell r="G250" t="str">
            <v>재직자</v>
          </cell>
          <cell r="H250" t="str">
            <v>판교</v>
          </cell>
          <cell r="I250"/>
          <cell r="J250"/>
          <cell r="K250" t="str">
            <v>기술사무</v>
          </cell>
          <cell r="L250" t="str">
            <v>DDI설계1팀</v>
          </cell>
        </row>
        <row r="251">
          <cell r="A251" t="str">
            <v>20000264</v>
          </cell>
          <cell r="B251" t="str">
            <v>황대욱</v>
          </cell>
          <cell r="C251" t="str">
            <v>7602181090114</v>
          </cell>
          <cell r="D251" t="str">
            <v>남</v>
          </cell>
          <cell r="E251" t="str">
            <v>19760218</v>
          </cell>
          <cell r="F251" t="str">
            <v>50</v>
          </cell>
          <cell r="G251" t="str">
            <v>재직자</v>
          </cell>
          <cell r="H251" t="str">
            <v>판교</v>
          </cell>
          <cell r="I251"/>
          <cell r="J251"/>
          <cell r="K251" t="str">
            <v>기술사무</v>
          </cell>
          <cell r="L251" t="str">
            <v>DDI마케팅파트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4"/>
  <sheetViews>
    <sheetView zoomScale="85" zoomScaleNormal="85" workbookViewId="0">
      <selection activeCell="B27" sqref="B27"/>
    </sheetView>
  </sheetViews>
  <sheetFormatPr defaultRowHeight="16.5" x14ac:dyDescent="0.3"/>
  <cols>
    <col min="1" max="1" width="10" style="49" customWidth="1"/>
    <col min="2" max="2" width="17.625" style="49" customWidth="1"/>
    <col min="3" max="3" width="9" style="49" customWidth="1"/>
  </cols>
  <sheetData>
    <row r="2" spans="1:3" x14ac:dyDescent="0.3">
      <c r="B2" s="7" t="s">
        <v>0</v>
      </c>
    </row>
    <row r="4" spans="1:3" x14ac:dyDescent="0.3">
      <c r="B4" s="8" t="s">
        <v>1</v>
      </c>
      <c r="C4" s="9" t="s">
        <v>2</v>
      </c>
    </row>
    <row r="5" spans="1:3" x14ac:dyDescent="0.3">
      <c r="A5" s="18">
        <v>51061030</v>
      </c>
      <c r="B5" s="11" t="s">
        <v>3</v>
      </c>
      <c r="C5" s="11" t="s">
        <v>4</v>
      </c>
    </row>
    <row r="6" spans="1:3" x14ac:dyDescent="0.3">
      <c r="A6" s="18">
        <v>51061030</v>
      </c>
      <c r="B6" s="11" t="s">
        <v>5</v>
      </c>
      <c r="C6" s="11" t="s">
        <v>6</v>
      </c>
    </row>
    <row r="7" spans="1:3" x14ac:dyDescent="0.3">
      <c r="A7" s="18">
        <v>51061030</v>
      </c>
      <c r="B7" s="11" t="s">
        <v>7</v>
      </c>
      <c r="C7" s="11" t="s">
        <v>8</v>
      </c>
    </row>
    <row r="8" spans="1:3" x14ac:dyDescent="0.3">
      <c r="A8" s="18">
        <v>51061030</v>
      </c>
      <c r="B8" s="11" t="s">
        <v>9</v>
      </c>
      <c r="C8" s="11" t="s">
        <v>10</v>
      </c>
    </row>
    <row r="9" spans="1:3" x14ac:dyDescent="0.3">
      <c r="A9" s="18">
        <v>51061030</v>
      </c>
      <c r="B9" s="11" t="s">
        <v>11</v>
      </c>
      <c r="C9" s="11" t="s">
        <v>12</v>
      </c>
    </row>
    <row r="10" spans="1:3" s="7" customFormat="1" x14ac:dyDescent="0.3">
      <c r="A10" s="18">
        <v>51061030</v>
      </c>
      <c r="B10" s="11" t="s">
        <v>13</v>
      </c>
      <c r="C10" s="11" t="s">
        <v>14</v>
      </c>
    </row>
    <row r="11" spans="1:3" s="7" customFormat="1" x14ac:dyDescent="0.3">
      <c r="A11" s="18">
        <v>51061030</v>
      </c>
      <c r="B11" s="11" t="s">
        <v>15</v>
      </c>
      <c r="C11" s="11" t="s">
        <v>16</v>
      </c>
    </row>
    <row r="12" spans="1:3" s="7" customFormat="1" x14ac:dyDescent="0.3">
      <c r="A12" s="18">
        <v>51061030</v>
      </c>
      <c r="B12" s="11" t="s">
        <v>17</v>
      </c>
      <c r="C12" s="11" t="s">
        <v>18</v>
      </c>
    </row>
    <row r="13" spans="1:3" s="7" customFormat="1" x14ac:dyDescent="0.3">
      <c r="A13" s="18">
        <v>51061030</v>
      </c>
      <c r="B13" s="11" t="s">
        <v>17</v>
      </c>
      <c r="C13" s="11" t="s">
        <v>18</v>
      </c>
    </row>
    <row r="14" spans="1:3" s="7" customFormat="1" x14ac:dyDescent="0.3">
      <c r="A14" s="18">
        <v>51061030</v>
      </c>
      <c r="B14" s="11" t="s">
        <v>19</v>
      </c>
      <c r="C14" s="11" t="s">
        <v>20</v>
      </c>
    </row>
    <row r="15" spans="1:3" s="7" customFormat="1" x14ac:dyDescent="0.3">
      <c r="A15" s="18">
        <v>51061030</v>
      </c>
      <c r="B15" s="11" t="s">
        <v>21</v>
      </c>
      <c r="C15" s="11" t="s">
        <v>22</v>
      </c>
    </row>
    <row r="16" spans="1:3" s="7" customFormat="1" x14ac:dyDescent="0.3">
      <c r="A16" s="18">
        <v>71061030</v>
      </c>
      <c r="B16" s="11" t="s">
        <v>23</v>
      </c>
      <c r="C16" s="11" t="s">
        <v>24</v>
      </c>
    </row>
    <row r="17" spans="1:3" s="7" customFormat="1" x14ac:dyDescent="0.3">
      <c r="A17" s="18">
        <v>71061030</v>
      </c>
      <c r="B17" s="11" t="s">
        <v>25</v>
      </c>
      <c r="C17" s="11" t="s">
        <v>26</v>
      </c>
    </row>
    <row r="18" spans="1:3" s="7" customFormat="1" x14ac:dyDescent="0.3">
      <c r="A18" s="18">
        <v>51061030</v>
      </c>
      <c r="B18" s="11" t="s">
        <v>27</v>
      </c>
      <c r="C18" s="11" t="s">
        <v>28</v>
      </c>
    </row>
    <row r="19" spans="1:3" s="7" customFormat="1" x14ac:dyDescent="0.3">
      <c r="A19" s="18">
        <v>71061030</v>
      </c>
      <c r="B19" s="11" t="s">
        <v>29</v>
      </c>
      <c r="C19" s="11" t="s">
        <v>30</v>
      </c>
    </row>
    <row r="20" spans="1:3" s="7" customFormat="1" x14ac:dyDescent="0.3">
      <c r="A20" s="18">
        <v>71061030</v>
      </c>
      <c r="B20" s="11" t="s">
        <v>31</v>
      </c>
      <c r="C20" s="11" t="s">
        <v>32</v>
      </c>
    </row>
    <row r="21" spans="1:3" s="7" customFormat="1" x14ac:dyDescent="0.3">
      <c r="A21" s="18">
        <v>71061030</v>
      </c>
      <c r="B21" s="11" t="s">
        <v>33</v>
      </c>
      <c r="C21" s="11" t="s">
        <v>32</v>
      </c>
    </row>
    <row r="22" spans="1:3" s="7" customFormat="1" x14ac:dyDescent="0.3">
      <c r="A22" s="18">
        <v>71061030</v>
      </c>
      <c r="B22" s="11" t="s">
        <v>34</v>
      </c>
      <c r="C22" s="11" t="s">
        <v>32</v>
      </c>
    </row>
    <row r="23" spans="1:3" s="7" customFormat="1" x14ac:dyDescent="0.3">
      <c r="A23" s="18">
        <v>71061030</v>
      </c>
      <c r="B23" s="11" t="s">
        <v>35</v>
      </c>
      <c r="C23" s="11" t="s">
        <v>36</v>
      </c>
    </row>
    <row r="24" spans="1:3" s="7" customFormat="1" x14ac:dyDescent="0.3">
      <c r="A24" s="18">
        <v>71061030</v>
      </c>
      <c r="B24" s="11" t="s">
        <v>37</v>
      </c>
      <c r="C24" s="11" t="s">
        <v>36</v>
      </c>
    </row>
    <row r="25" spans="1:3" s="7" customFormat="1" x14ac:dyDescent="0.3">
      <c r="A25" s="18">
        <v>71061030</v>
      </c>
      <c r="B25" s="11" t="s">
        <v>38</v>
      </c>
      <c r="C25" s="11" t="s">
        <v>36</v>
      </c>
    </row>
    <row r="26" spans="1:3" s="7" customFormat="1" x14ac:dyDescent="0.3">
      <c r="A26" s="18">
        <v>71061030</v>
      </c>
      <c r="B26" s="11" t="s">
        <v>39</v>
      </c>
      <c r="C26" s="11" t="s">
        <v>40</v>
      </c>
    </row>
    <row r="27" spans="1:3" s="7" customFormat="1" x14ac:dyDescent="0.3">
      <c r="A27" s="18">
        <v>71061030</v>
      </c>
      <c r="B27" s="11" t="s">
        <v>41</v>
      </c>
      <c r="C27" s="11" t="s">
        <v>40</v>
      </c>
    </row>
    <row r="28" spans="1:3" s="7" customFormat="1" x14ac:dyDescent="0.3">
      <c r="A28" s="18">
        <v>71061030</v>
      </c>
      <c r="B28" s="11" t="s">
        <v>42</v>
      </c>
      <c r="C28" s="11" t="s">
        <v>40</v>
      </c>
    </row>
    <row r="29" spans="1:3" s="7" customFormat="1" x14ac:dyDescent="0.3">
      <c r="A29" s="18">
        <v>71061030</v>
      </c>
      <c r="B29" s="11" t="s">
        <v>43</v>
      </c>
      <c r="C29" s="11" t="s">
        <v>40</v>
      </c>
    </row>
    <row r="30" spans="1:3" s="7" customFormat="1" x14ac:dyDescent="0.3">
      <c r="A30" s="18">
        <v>71061030</v>
      </c>
      <c r="B30" s="11" t="s">
        <v>44</v>
      </c>
      <c r="C30" s="11" t="s">
        <v>45</v>
      </c>
    </row>
    <row r="31" spans="1:3" s="7" customFormat="1" x14ac:dyDescent="0.3">
      <c r="A31" s="18">
        <v>51061030</v>
      </c>
      <c r="B31" s="11" t="s">
        <v>46</v>
      </c>
      <c r="C31" s="11" t="s">
        <v>47</v>
      </c>
    </row>
    <row r="32" spans="1:3" s="7" customFormat="1" x14ac:dyDescent="0.3">
      <c r="A32" s="18">
        <v>51061030</v>
      </c>
      <c r="B32" s="11" t="s">
        <v>48</v>
      </c>
      <c r="C32" s="11" t="s">
        <v>49</v>
      </c>
    </row>
    <row r="33" spans="1:3" s="7" customFormat="1" x14ac:dyDescent="0.3">
      <c r="A33" s="18">
        <v>71061030</v>
      </c>
      <c r="B33" s="11" t="s">
        <v>50</v>
      </c>
      <c r="C33" s="11" t="s">
        <v>51</v>
      </c>
    </row>
    <row r="34" spans="1:3" x14ac:dyDescent="0.3">
      <c r="A34" s="18"/>
      <c r="B34" s="11" t="s">
        <v>52</v>
      </c>
      <c r="C34" s="11" t="s">
        <v>53</v>
      </c>
    </row>
  </sheetData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E31"/>
  <sheetViews>
    <sheetView zoomScale="85" zoomScaleNormal="85" workbookViewId="0">
      <selection activeCell="D51" sqref="D51"/>
    </sheetView>
  </sheetViews>
  <sheetFormatPr defaultRowHeight="16.5" x14ac:dyDescent="0.3"/>
  <cols>
    <col min="1" max="1" width="10" style="49" customWidth="1"/>
    <col min="2" max="2" width="17.625" style="49" customWidth="1"/>
    <col min="3" max="3" width="9" style="49" customWidth="1"/>
    <col min="4" max="4" width="11.625" style="49" customWidth="1"/>
    <col min="5" max="5" width="9" style="49" customWidth="1"/>
  </cols>
  <sheetData>
    <row r="2" spans="1:4" x14ac:dyDescent="0.3">
      <c r="B2" s="7" t="s">
        <v>54</v>
      </c>
    </row>
    <row r="4" spans="1:4" x14ac:dyDescent="0.3">
      <c r="B4" s="8" t="s">
        <v>1</v>
      </c>
      <c r="C4" s="9" t="s">
        <v>2</v>
      </c>
      <c r="D4" s="10" t="s">
        <v>55</v>
      </c>
    </row>
    <row r="5" spans="1:4" x14ac:dyDescent="0.3">
      <c r="A5" s="18">
        <v>51061030</v>
      </c>
      <c r="B5" s="11" t="s">
        <v>3</v>
      </c>
      <c r="C5" s="11" t="s">
        <v>4</v>
      </c>
      <c r="D5" s="50">
        <f>SUMIF('e-DAHS 전표내역'!$H:$H,정산내역!C5,'e-DAHS 전표내역'!$U:$U)</f>
        <v>150000</v>
      </c>
    </row>
    <row r="6" spans="1:4" hidden="1" x14ac:dyDescent="0.3">
      <c r="A6" s="18">
        <v>51061030</v>
      </c>
      <c r="B6" s="11" t="s">
        <v>5</v>
      </c>
      <c r="C6" s="11" t="s">
        <v>6</v>
      </c>
      <c r="D6" s="50">
        <f>SUMIF('e-DAHS 전표내역'!$H:$H,정산내역!C6,'e-DAHS 전표내역'!$U:$U)</f>
        <v>0</v>
      </c>
    </row>
    <row r="7" spans="1:4" x14ac:dyDescent="0.3">
      <c r="A7" s="18">
        <v>51061030</v>
      </c>
      <c r="B7" s="11" t="s">
        <v>7</v>
      </c>
      <c r="C7" s="11" t="s">
        <v>8</v>
      </c>
      <c r="D7" s="50">
        <f>SUMIF('e-DAHS 전표내역'!$H:$H,정산내역!C7,'e-DAHS 전표내역'!$U:$U)</f>
        <v>995520</v>
      </c>
    </row>
    <row r="8" spans="1:4" x14ac:dyDescent="0.3">
      <c r="A8" s="18">
        <v>51061030</v>
      </c>
      <c r="B8" s="11" t="s">
        <v>9</v>
      </c>
      <c r="C8" s="11" t="s">
        <v>10</v>
      </c>
      <c r="D8" s="50">
        <f>SUMIF('e-DAHS 전표내역'!$H:$H,정산내역!C8,'e-DAHS 전표내역'!$U:$U)</f>
        <v>3475802</v>
      </c>
    </row>
    <row r="9" spans="1:4" hidden="1" x14ac:dyDescent="0.3">
      <c r="A9" s="18">
        <v>51061030</v>
      </c>
      <c r="B9" s="11" t="s">
        <v>11</v>
      </c>
      <c r="C9" s="11" t="s">
        <v>12</v>
      </c>
      <c r="D9" s="50">
        <f>SUMIF('e-DAHS 전표내역'!$H:$H,정산내역!C9,'e-DAHS 전표내역'!$U:$U)</f>
        <v>0</v>
      </c>
    </row>
    <row r="10" spans="1:4" s="7" customFormat="1" hidden="1" x14ac:dyDescent="0.3">
      <c r="A10" s="18">
        <v>51061030</v>
      </c>
      <c r="B10" s="11" t="s">
        <v>13</v>
      </c>
      <c r="C10" s="11" t="s">
        <v>14</v>
      </c>
      <c r="D10" s="50">
        <f>SUMIF('e-DAHS 전표내역'!$H:$H,정산내역!C10,'e-DAHS 전표내역'!$U:$U)</f>
        <v>0</v>
      </c>
    </row>
    <row r="11" spans="1:4" s="7" customFormat="1" hidden="1" x14ac:dyDescent="0.3">
      <c r="A11" s="18">
        <v>51061030</v>
      </c>
      <c r="B11" s="11" t="s">
        <v>15</v>
      </c>
      <c r="C11" s="11" t="s">
        <v>16</v>
      </c>
      <c r="D11" s="50">
        <f>SUMIF('e-DAHS 전표내역'!$H:$H,정산내역!C11,'e-DAHS 전표내역'!$U:$U)</f>
        <v>0</v>
      </c>
    </row>
    <row r="12" spans="1:4" s="7" customFormat="1" hidden="1" x14ac:dyDescent="0.3">
      <c r="A12" s="18">
        <v>51061030</v>
      </c>
      <c r="B12" s="11" t="s">
        <v>17</v>
      </c>
      <c r="C12" s="11" t="s">
        <v>18</v>
      </c>
      <c r="D12" s="50">
        <f>SUMIF('e-DAHS 전표내역'!$H:$H,정산내역!C12,'e-DAHS 전표내역'!$U:$U)</f>
        <v>0</v>
      </c>
    </row>
    <row r="13" spans="1:4" s="7" customFormat="1" hidden="1" x14ac:dyDescent="0.3">
      <c r="A13" s="18">
        <v>51061030</v>
      </c>
      <c r="B13" s="11" t="s">
        <v>17</v>
      </c>
      <c r="C13" s="11" t="s">
        <v>18</v>
      </c>
      <c r="D13" s="50">
        <f>SUMIF('e-DAHS 전표내역'!$H:$H,정산내역!C13,'e-DAHS 전표내역'!$U:$U)</f>
        <v>0</v>
      </c>
    </row>
    <row r="14" spans="1:4" s="7" customFormat="1" x14ac:dyDescent="0.3">
      <c r="A14" s="18">
        <v>51061030</v>
      </c>
      <c r="B14" s="11" t="s">
        <v>19</v>
      </c>
      <c r="C14" s="11" t="s">
        <v>20</v>
      </c>
      <c r="D14" s="50">
        <f>SUMIF('e-DAHS 전표내역'!$H:$H,정산내역!C14,'e-DAHS 전표내역'!$U:$U)</f>
        <v>0</v>
      </c>
    </row>
    <row r="15" spans="1:4" s="7" customFormat="1" hidden="1" x14ac:dyDescent="0.3">
      <c r="A15" s="18">
        <v>51061030</v>
      </c>
      <c r="B15" s="11" t="s">
        <v>21</v>
      </c>
      <c r="C15" s="11" t="s">
        <v>22</v>
      </c>
      <c r="D15" s="50">
        <f>SUMIF('e-DAHS 전표내역'!$H:$H,정산내역!C15,'e-DAHS 전표내역'!$U:$U)</f>
        <v>0</v>
      </c>
    </row>
    <row r="16" spans="1:4" s="7" customFormat="1" x14ac:dyDescent="0.3">
      <c r="A16" s="18">
        <v>71061030</v>
      </c>
      <c r="B16" s="11" t="s">
        <v>23</v>
      </c>
      <c r="C16" s="11" t="s">
        <v>24</v>
      </c>
      <c r="D16" s="50">
        <f>SUMIF('e-DAHS 전표내역'!$H:$H,정산내역!C16,'e-DAHS 전표내역'!$U:$U)</f>
        <v>862770</v>
      </c>
    </row>
    <row r="17" spans="1:4" s="7" customFormat="1" hidden="1" x14ac:dyDescent="0.3">
      <c r="A17" s="18">
        <v>71061030</v>
      </c>
      <c r="B17" s="11" t="s">
        <v>25</v>
      </c>
      <c r="C17" s="11" t="s">
        <v>26</v>
      </c>
      <c r="D17" s="50">
        <f>SUMIF('e-DAHS 전표내역'!$H:$H,정산내역!C17,'e-DAHS 전표내역'!$U:$U)</f>
        <v>0</v>
      </c>
    </row>
    <row r="18" spans="1:4" s="7" customFormat="1" x14ac:dyDescent="0.3">
      <c r="A18" s="18">
        <v>51061030</v>
      </c>
      <c r="B18" s="11" t="s">
        <v>27</v>
      </c>
      <c r="C18" s="11" t="s">
        <v>28</v>
      </c>
      <c r="D18" s="50">
        <f>SUMIF('e-DAHS 전표내역'!$H:$H,정산내역!C18,'e-DAHS 전표내역'!$U:$U)</f>
        <v>668180</v>
      </c>
    </row>
    <row r="19" spans="1:4" s="7" customFormat="1" x14ac:dyDescent="0.3">
      <c r="A19" s="18">
        <v>71061030</v>
      </c>
      <c r="B19" s="11" t="s">
        <v>29</v>
      </c>
      <c r="C19" s="11" t="s">
        <v>30</v>
      </c>
      <c r="D19" s="50">
        <f>SUMIF('e-DAHS 전표내역'!$H:$H,정산내역!C19,'e-DAHS 전표내역'!$U:$U)</f>
        <v>8415720</v>
      </c>
    </row>
    <row r="20" spans="1:4" s="7" customFormat="1" x14ac:dyDescent="0.3">
      <c r="A20" s="18">
        <v>71061030</v>
      </c>
      <c r="B20" s="11" t="s">
        <v>31</v>
      </c>
      <c r="C20" s="11" t="s">
        <v>32</v>
      </c>
      <c r="D20" s="50">
        <f>SUMIF('e-DAHS 전표내역'!$H:$H,정산내역!C20,'e-DAHS 전표내역'!$U:$U)</f>
        <v>0</v>
      </c>
    </row>
    <row r="21" spans="1:4" s="7" customFormat="1" x14ac:dyDescent="0.3">
      <c r="A21" s="18">
        <v>71061030</v>
      </c>
      <c r="B21" s="11" t="s">
        <v>35</v>
      </c>
      <c r="C21" s="11" t="s">
        <v>36</v>
      </c>
      <c r="D21" s="50">
        <f>SUMIF('e-DAHS 전표내역'!$H:$H,정산내역!C21,'e-DAHS 전표내역'!$U:$U)</f>
        <v>1591040</v>
      </c>
    </row>
    <row r="22" spans="1:4" s="7" customFormat="1" x14ac:dyDescent="0.3">
      <c r="A22" s="18">
        <v>71061030</v>
      </c>
      <c r="B22" s="11" t="s">
        <v>39</v>
      </c>
      <c r="C22" s="11" t="s">
        <v>40</v>
      </c>
      <c r="D22" s="50">
        <f>SUMIF('e-DAHS 전표내역'!$H:$H,정산내역!C22,'e-DAHS 전표내역'!$U:$U)</f>
        <v>560768</v>
      </c>
    </row>
    <row r="23" spans="1:4" s="7" customFormat="1" hidden="1" x14ac:dyDescent="0.3">
      <c r="A23" s="18">
        <v>71061030</v>
      </c>
      <c r="B23" s="11" t="s">
        <v>44</v>
      </c>
      <c r="C23" s="11" t="s">
        <v>45</v>
      </c>
      <c r="D23" s="50">
        <f>SUMIF('e-DAHS 전표내역'!$H:$H,정산내역!C23,'e-DAHS 전표내역'!$U:$U)</f>
        <v>0</v>
      </c>
    </row>
    <row r="24" spans="1:4" s="7" customFormat="1" hidden="1" x14ac:dyDescent="0.3">
      <c r="A24" s="18">
        <v>51061030</v>
      </c>
      <c r="B24" s="11" t="s">
        <v>46</v>
      </c>
      <c r="C24" s="11" t="s">
        <v>47</v>
      </c>
      <c r="D24" s="50">
        <f>SUMIF('e-DAHS 전표내역'!$H:$H,정산내역!C24,'e-DAHS 전표내역'!$U:$U)</f>
        <v>0</v>
      </c>
    </row>
    <row r="25" spans="1:4" s="7" customFormat="1" hidden="1" x14ac:dyDescent="0.3">
      <c r="A25" s="18">
        <v>51061030</v>
      </c>
      <c r="B25" s="11" t="s">
        <v>48</v>
      </c>
      <c r="C25" s="11" t="s">
        <v>49</v>
      </c>
      <c r="D25" s="50">
        <f>SUMIF('e-DAHS 전표내역'!$H:$H,정산내역!C25,'e-DAHS 전표내역'!$U:$U)</f>
        <v>0</v>
      </c>
    </row>
    <row r="26" spans="1:4" s="7" customFormat="1" hidden="1" x14ac:dyDescent="0.3">
      <c r="A26" s="18">
        <v>71061030</v>
      </c>
      <c r="B26" s="11" t="s">
        <v>50</v>
      </c>
      <c r="C26" s="11" t="s">
        <v>51</v>
      </c>
      <c r="D26" s="50">
        <f>SUMIF('e-DAHS 전표내역'!$H:$H,정산내역!C26,'e-DAHS 전표내역'!$U:$U)</f>
        <v>0</v>
      </c>
    </row>
    <row r="27" spans="1:4" s="7" customFormat="1" hidden="1" x14ac:dyDescent="0.3">
      <c r="A27" s="18"/>
      <c r="B27" s="11" t="s">
        <v>52</v>
      </c>
      <c r="C27" s="11" t="s">
        <v>53</v>
      </c>
      <c r="D27" s="50">
        <f>SUMIF('e-DAHS 전표내역'!$H:$H,정산내역!C27,'e-DAHS 전표내역'!$U:$U)</f>
        <v>0</v>
      </c>
    </row>
    <row r="28" spans="1:4" s="7" customFormat="1" x14ac:dyDescent="0.3">
      <c r="A28" s="18"/>
      <c r="B28" s="62" t="s">
        <v>55</v>
      </c>
      <c r="C28" s="63"/>
      <c r="D28" s="51">
        <f>SUM(D5:D27)</f>
        <v>16719800</v>
      </c>
    </row>
    <row r="29" spans="1:4" s="7" customFormat="1" x14ac:dyDescent="0.3">
      <c r="A29" s="18"/>
      <c r="B29" s="18"/>
      <c r="C29" s="18"/>
      <c r="D29" s="18"/>
    </row>
    <row r="30" spans="1:4" s="7" customFormat="1" x14ac:dyDescent="0.3">
      <c r="A30" s="18"/>
      <c r="B30" s="7" t="s">
        <v>56</v>
      </c>
      <c r="C30" s="18"/>
      <c r="D30" s="18"/>
    </row>
    <row r="31" spans="1:4" s="7" customFormat="1" x14ac:dyDescent="0.3">
      <c r="A31" s="18"/>
      <c r="B31" s="12" t="s">
        <v>57</v>
      </c>
      <c r="C31" s="18"/>
      <c r="D31" s="18"/>
    </row>
  </sheetData>
  <mergeCells count="1">
    <mergeCell ref="B28:C28"/>
  </mergeCells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3"/>
  <sheetViews>
    <sheetView zoomScale="70" zoomScaleNormal="70" workbookViewId="0">
      <pane xSplit="1" ySplit="2" topLeftCell="B3" activePane="bottomRight" state="frozen"/>
      <selection activeCell="F40" sqref="F40"/>
      <selection pane="topRight" activeCell="F40" sqref="F40"/>
      <selection pane="bottomLeft" activeCell="F40" sqref="F40"/>
      <selection pane="bottomRight" activeCell="H39" sqref="H39"/>
    </sheetView>
  </sheetViews>
  <sheetFormatPr defaultRowHeight="16.5" x14ac:dyDescent="0.3"/>
  <cols>
    <col min="1" max="1" width="7.875" style="7" customWidth="1"/>
    <col min="2" max="2" width="9.75" style="19" bestFit="1" customWidth="1"/>
    <col min="3" max="3" width="7.125" style="19" customWidth="1"/>
    <col min="4" max="4" width="13.5" style="19" bestFit="1" customWidth="1"/>
    <col min="5" max="5" width="20.75" style="19" bestFit="1" customWidth="1"/>
    <col min="6" max="6" width="11.5" style="19" customWidth="1"/>
    <col min="7" max="7" width="18.25" style="19" bestFit="1" customWidth="1"/>
    <col min="8" max="8" width="13.125" style="19" bestFit="1" customWidth="1"/>
    <col min="9" max="9" width="12.375" style="19" customWidth="1"/>
    <col min="10" max="10" width="19.5" style="19" customWidth="1"/>
    <col min="11" max="11" width="26.25" style="19" customWidth="1"/>
    <col min="12" max="12" width="14.25" style="19" customWidth="1"/>
    <col min="13" max="13" width="22.125" style="19" customWidth="1"/>
    <col min="14" max="14" width="13.5" style="19" customWidth="1"/>
    <col min="15" max="15" width="29.625" style="19" customWidth="1"/>
    <col min="16" max="16" width="13.875" style="19" customWidth="1"/>
    <col min="17" max="17" width="6.625" style="19" customWidth="1"/>
    <col min="18" max="18" width="11.375" style="52" customWidth="1"/>
    <col min="19" max="20" width="10.25" style="53" customWidth="1"/>
    <col min="21" max="21" width="12" style="52" customWidth="1"/>
    <col min="22" max="22" width="11.625" style="19" customWidth="1"/>
    <col min="23" max="23" width="16.5" style="21" customWidth="1"/>
    <col min="24" max="24" width="13.5" style="19" bestFit="1" customWidth="1"/>
    <col min="25" max="25" width="27.625" style="7" bestFit="1" customWidth="1"/>
    <col min="26" max="26" width="9" style="7" customWidth="1"/>
    <col min="27" max="27" width="10.25" style="7" bestFit="1" customWidth="1"/>
    <col min="28" max="28" width="9" style="7" customWidth="1"/>
    <col min="29" max="16384" width="9" style="7"/>
  </cols>
  <sheetData>
    <row r="1" spans="1:24" ht="24" customHeight="1" x14ac:dyDescent="0.3">
      <c r="A1" s="64" t="s">
        <v>58</v>
      </c>
      <c r="B1" s="64" t="s">
        <v>59</v>
      </c>
      <c r="C1" s="65"/>
      <c r="D1" s="64" t="s">
        <v>60</v>
      </c>
      <c r="E1" s="64" t="s">
        <v>61</v>
      </c>
      <c r="F1" s="64" t="s">
        <v>62</v>
      </c>
      <c r="G1" s="64" t="s">
        <v>1</v>
      </c>
      <c r="H1" s="64" t="s">
        <v>63</v>
      </c>
      <c r="I1" s="64" t="s">
        <v>64</v>
      </c>
      <c r="J1" s="64" t="s">
        <v>65</v>
      </c>
      <c r="K1" s="64" t="s">
        <v>66</v>
      </c>
      <c r="L1" s="64" t="s">
        <v>67</v>
      </c>
      <c r="M1" s="64" t="s">
        <v>68</v>
      </c>
      <c r="N1" s="64" t="s">
        <v>69</v>
      </c>
      <c r="O1" s="64" t="s">
        <v>70</v>
      </c>
      <c r="P1" s="64" t="s">
        <v>71</v>
      </c>
      <c r="Q1" s="64" t="s">
        <v>72</v>
      </c>
      <c r="R1" s="64" t="s">
        <v>73</v>
      </c>
      <c r="S1" s="64" t="s">
        <v>74</v>
      </c>
      <c r="T1" s="64" t="s">
        <v>75</v>
      </c>
      <c r="U1" s="64" t="s">
        <v>76</v>
      </c>
      <c r="V1" s="64" t="s">
        <v>77</v>
      </c>
      <c r="W1" s="64" t="s">
        <v>78</v>
      </c>
      <c r="X1" s="64" t="s">
        <v>79</v>
      </c>
    </row>
    <row r="2" spans="1:24" x14ac:dyDescent="0.3">
      <c r="A2" s="68"/>
      <c r="B2" s="66"/>
      <c r="C2" s="6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</row>
    <row r="3" spans="1:24" x14ac:dyDescent="0.3">
      <c r="B3" s="19" t="s">
        <v>80</v>
      </c>
      <c r="C3" s="19" t="s">
        <v>81</v>
      </c>
      <c r="D3" s="54">
        <v>20603304</v>
      </c>
      <c r="E3" t="s">
        <v>82</v>
      </c>
      <c r="F3" s="20" t="str">
        <f>VLOOKUP(E3,영문국문명!$D$2:$F$252,2,0)</f>
        <v>이상태</v>
      </c>
      <c r="G3" s="20" t="str">
        <f>VLOOKUP(E3,영문국문명!$D$2:$F$252,3,0)</f>
        <v>영업팀</v>
      </c>
      <c r="H3" s="40" t="str">
        <f>VLOOKUP(G3,CC정리!$B$5:$C$34,2,0)</f>
        <v>B2D310</v>
      </c>
      <c r="I3" t="s">
        <v>83</v>
      </c>
      <c r="J3" t="s">
        <v>84</v>
      </c>
      <c r="K3" s="19" t="s">
        <v>85</v>
      </c>
      <c r="L3" s="19" t="s">
        <v>86</v>
      </c>
      <c r="M3" s="19" t="s">
        <v>87</v>
      </c>
      <c r="N3" s="19" t="s">
        <v>88</v>
      </c>
      <c r="O3" s="19" t="s">
        <v>89</v>
      </c>
      <c r="P3" s="19" t="s">
        <v>90</v>
      </c>
      <c r="Q3" s="19" t="s">
        <v>91</v>
      </c>
      <c r="R3" s="55">
        <v>1206800</v>
      </c>
      <c r="S3" s="55">
        <v>0</v>
      </c>
      <c r="T3" s="55">
        <v>0</v>
      </c>
      <c r="U3" s="55">
        <v>1206800</v>
      </c>
      <c r="V3" s="19" t="s">
        <v>92</v>
      </c>
      <c r="X3" s="69"/>
    </row>
    <row r="4" spans="1:24" x14ac:dyDescent="0.3">
      <c r="B4" s="19" t="s">
        <v>80</v>
      </c>
      <c r="C4" s="19" t="s">
        <v>81</v>
      </c>
      <c r="D4" s="54">
        <v>21603304</v>
      </c>
      <c r="E4" t="s">
        <v>82</v>
      </c>
      <c r="F4" s="20" t="str">
        <f>VLOOKUP(E4,영문국문명!$D$2:$F$252,2,0)</f>
        <v>이상태</v>
      </c>
      <c r="G4" s="20" t="str">
        <f>VLOOKUP(E4,영문국문명!$D$2:$F$252,3,0)</f>
        <v>영업팀</v>
      </c>
      <c r="H4" s="40" t="str">
        <f>VLOOKUP(G4,CC정리!$B$5:$C$34,2,0)</f>
        <v>B2D310</v>
      </c>
      <c r="I4" t="s">
        <v>83</v>
      </c>
      <c r="J4" t="s">
        <v>84</v>
      </c>
      <c r="K4" s="19" t="s">
        <v>85</v>
      </c>
      <c r="L4" s="19" t="s">
        <v>86</v>
      </c>
      <c r="M4" s="19" t="s">
        <v>87</v>
      </c>
      <c r="N4" s="19" t="s">
        <v>88</v>
      </c>
      <c r="O4" s="19" t="s">
        <v>93</v>
      </c>
      <c r="P4" s="19" t="s">
        <v>94</v>
      </c>
      <c r="Q4" s="19" t="s">
        <v>91</v>
      </c>
      <c r="R4" s="55">
        <v>44303</v>
      </c>
      <c r="S4" s="55">
        <v>0</v>
      </c>
      <c r="T4" s="55">
        <v>0</v>
      </c>
      <c r="U4" s="55">
        <v>44303</v>
      </c>
      <c r="V4" s="19" t="s">
        <v>92</v>
      </c>
      <c r="X4" s="70"/>
    </row>
    <row r="5" spans="1:24" x14ac:dyDescent="0.3">
      <c r="B5" s="19" t="s">
        <v>80</v>
      </c>
      <c r="C5" s="19" t="s">
        <v>81</v>
      </c>
      <c r="D5" s="54">
        <v>11602804</v>
      </c>
      <c r="E5" t="s">
        <v>95</v>
      </c>
      <c r="F5" s="20" t="e">
        <f>VLOOKUP(E5,영문국문명!$D$2:$F$252,2,0)</f>
        <v>#N/A</v>
      </c>
      <c r="G5" s="20" t="e">
        <f>VLOOKUP(E5,영문국문명!$D$2:$F$252,3,0)</f>
        <v>#N/A</v>
      </c>
      <c r="H5" s="40" t="e">
        <f>VLOOKUP(G5,CC정리!$B$5:$C$34,2,0)</f>
        <v>#N/A</v>
      </c>
      <c r="I5" t="s">
        <v>96</v>
      </c>
      <c r="J5" t="s">
        <v>97</v>
      </c>
      <c r="K5" s="19" t="s">
        <v>85</v>
      </c>
      <c r="L5" s="19" t="s">
        <v>86</v>
      </c>
      <c r="M5" s="19" t="s">
        <v>87</v>
      </c>
      <c r="N5" s="19" t="s">
        <v>98</v>
      </c>
      <c r="O5" s="19" t="s">
        <v>89</v>
      </c>
      <c r="P5" s="19" t="s">
        <v>90</v>
      </c>
      <c r="Q5" s="19" t="s">
        <v>91</v>
      </c>
      <c r="R5" s="55">
        <v>643800</v>
      </c>
      <c r="S5" s="55">
        <v>0</v>
      </c>
      <c r="T5" s="55">
        <v>0</v>
      </c>
      <c r="U5" s="55">
        <v>643800</v>
      </c>
      <c r="V5" s="19" t="s">
        <v>92</v>
      </c>
      <c r="X5" s="70"/>
    </row>
    <row r="6" spans="1:24" x14ac:dyDescent="0.3">
      <c r="B6" s="19" t="s">
        <v>80</v>
      </c>
      <c r="C6" s="19" t="s">
        <v>81</v>
      </c>
      <c r="D6" s="54">
        <v>13602804</v>
      </c>
      <c r="E6" t="s">
        <v>99</v>
      </c>
      <c r="F6" s="20" t="str">
        <f>VLOOKUP(E6,영문국문명!$D$2:$F$252,2,0)</f>
        <v>김희진</v>
      </c>
      <c r="G6" s="20" t="str">
        <f>VLOOKUP(E6,영문국문명!$D$2:$F$252,3,0)</f>
        <v>PKG파트</v>
      </c>
      <c r="H6" s="40" t="str">
        <f>VLOOKUP(G6,CC정리!$B$5:$C$34,2,0)</f>
        <v>B2D800</v>
      </c>
      <c r="I6" s="39" t="s">
        <v>96</v>
      </c>
      <c r="J6" s="39" t="s">
        <v>97</v>
      </c>
      <c r="K6" s="19" t="s">
        <v>85</v>
      </c>
      <c r="L6" s="19" t="s">
        <v>86</v>
      </c>
      <c r="M6" s="19" t="s">
        <v>87</v>
      </c>
      <c r="N6" s="19" t="s">
        <v>98</v>
      </c>
      <c r="O6" s="19" t="s">
        <v>89</v>
      </c>
      <c r="P6" s="19" t="s">
        <v>90</v>
      </c>
      <c r="Q6" s="19" t="s">
        <v>91</v>
      </c>
      <c r="R6" s="55">
        <v>643800</v>
      </c>
      <c r="S6" s="55">
        <v>0</v>
      </c>
      <c r="T6" s="55">
        <v>0</v>
      </c>
      <c r="U6" s="55">
        <v>643800</v>
      </c>
      <c r="V6" s="19" t="s">
        <v>92</v>
      </c>
      <c r="X6" s="70"/>
    </row>
    <row r="7" spans="1:24" x14ac:dyDescent="0.3">
      <c r="B7" s="19" t="s">
        <v>80</v>
      </c>
      <c r="C7" s="19" t="s">
        <v>81</v>
      </c>
      <c r="D7" s="54">
        <v>14602804</v>
      </c>
      <c r="E7" t="s">
        <v>99</v>
      </c>
      <c r="F7" s="20" t="str">
        <f>VLOOKUP(E7,영문국문명!$D$2:$F$252,2,0)</f>
        <v>김희진</v>
      </c>
      <c r="G7" s="20" t="str">
        <f>VLOOKUP(E7,영문국문명!$D$2:$F$252,3,0)</f>
        <v>PKG파트</v>
      </c>
      <c r="H7" s="40" t="str">
        <f>VLOOKUP(G7,CC정리!$B$5:$C$34,2,0)</f>
        <v>B2D800</v>
      </c>
      <c r="I7" s="39" t="s">
        <v>96</v>
      </c>
      <c r="J7" s="39" t="s">
        <v>97</v>
      </c>
      <c r="K7" s="19" t="s">
        <v>85</v>
      </c>
      <c r="L7" s="19" t="s">
        <v>86</v>
      </c>
      <c r="M7" s="19" t="s">
        <v>87</v>
      </c>
      <c r="N7" s="19" t="s">
        <v>98</v>
      </c>
      <c r="O7" s="19" t="s">
        <v>93</v>
      </c>
      <c r="P7" s="19" t="s">
        <v>94</v>
      </c>
      <c r="Q7" s="19" t="s">
        <v>91</v>
      </c>
      <c r="R7" s="55">
        <v>24380</v>
      </c>
      <c r="S7" s="55">
        <v>0</v>
      </c>
      <c r="T7" s="55">
        <v>0</v>
      </c>
      <c r="U7" s="55">
        <v>24380</v>
      </c>
      <c r="V7" s="19" t="s">
        <v>92</v>
      </c>
      <c r="X7" s="70"/>
    </row>
    <row r="8" spans="1:24" x14ac:dyDescent="0.3">
      <c r="B8" s="19" t="s">
        <v>80</v>
      </c>
      <c r="C8" s="19" t="s">
        <v>81</v>
      </c>
      <c r="D8" s="54">
        <v>15602804</v>
      </c>
      <c r="E8" t="s">
        <v>100</v>
      </c>
      <c r="F8" s="20" t="e">
        <f>VLOOKUP(E8,영문국문명!$D$2:$F$252,2,0)</f>
        <v>#N/A</v>
      </c>
      <c r="G8" s="20" t="e">
        <f>VLOOKUP(E8,영문국문명!$D$2:$F$252,3,0)</f>
        <v>#N/A</v>
      </c>
      <c r="H8" s="40" t="e">
        <f>VLOOKUP(G8,CC정리!$B$5:$C$34,2,0)</f>
        <v>#N/A</v>
      </c>
      <c r="I8" s="39" t="s">
        <v>96</v>
      </c>
      <c r="J8" s="39" t="s">
        <v>97</v>
      </c>
      <c r="K8" s="19" t="s">
        <v>85</v>
      </c>
      <c r="L8" s="19" t="s">
        <v>86</v>
      </c>
      <c r="M8" s="19" t="s">
        <v>87</v>
      </c>
      <c r="N8" s="19" t="s">
        <v>98</v>
      </c>
      <c r="O8" s="19" t="s">
        <v>93</v>
      </c>
      <c r="P8" s="19" t="s">
        <v>94</v>
      </c>
      <c r="Q8" s="19" t="s">
        <v>91</v>
      </c>
      <c r="R8" s="55">
        <v>24380</v>
      </c>
      <c r="S8" s="55">
        <v>0</v>
      </c>
      <c r="T8" s="55">
        <v>0</v>
      </c>
      <c r="U8" s="55">
        <v>24380</v>
      </c>
      <c r="V8" s="19" t="s">
        <v>92</v>
      </c>
      <c r="X8" s="70"/>
    </row>
    <row r="9" spans="1:24" x14ac:dyDescent="0.3">
      <c r="B9" s="19" t="s">
        <v>80</v>
      </c>
      <c r="C9" s="19" t="s">
        <v>81</v>
      </c>
      <c r="D9" s="54">
        <v>16602804</v>
      </c>
      <c r="E9" t="s">
        <v>95</v>
      </c>
      <c r="F9" s="20" t="e">
        <f>VLOOKUP(E9,영문국문명!$D$2:$F$252,2,0)</f>
        <v>#N/A</v>
      </c>
      <c r="G9" s="20" t="e">
        <f>VLOOKUP(E9,영문국문명!$D$2:$F$252,3,0)</f>
        <v>#N/A</v>
      </c>
      <c r="H9" s="40" t="e">
        <f>VLOOKUP(G9,CC정리!$B$5:$C$34,2,0)</f>
        <v>#N/A</v>
      </c>
      <c r="I9" t="s">
        <v>96</v>
      </c>
      <c r="J9" t="s">
        <v>97</v>
      </c>
      <c r="K9" s="19" t="s">
        <v>85</v>
      </c>
      <c r="L9" s="19" t="s">
        <v>86</v>
      </c>
      <c r="M9" s="19" t="s">
        <v>87</v>
      </c>
      <c r="N9" s="19" t="s">
        <v>98</v>
      </c>
      <c r="O9" s="19" t="s">
        <v>93</v>
      </c>
      <c r="P9" s="19" t="s">
        <v>94</v>
      </c>
      <c r="Q9" s="19" t="s">
        <v>91</v>
      </c>
      <c r="R9" s="55">
        <v>24380</v>
      </c>
      <c r="S9" s="55">
        <v>0</v>
      </c>
      <c r="T9" s="55">
        <v>0</v>
      </c>
      <c r="U9" s="55">
        <v>24380</v>
      </c>
      <c r="V9" s="19" t="s">
        <v>92</v>
      </c>
      <c r="X9" s="70"/>
    </row>
    <row r="10" spans="1:24" x14ac:dyDescent="0.3">
      <c r="B10" s="19" t="s">
        <v>80</v>
      </c>
      <c r="C10" s="19" t="s">
        <v>81</v>
      </c>
      <c r="D10" s="54">
        <v>17602804</v>
      </c>
      <c r="E10" t="s">
        <v>101</v>
      </c>
      <c r="F10" s="20" t="e">
        <f>VLOOKUP(E10,영문국문명!$D$2:$F$252,2,0)</f>
        <v>#N/A</v>
      </c>
      <c r="G10" s="20" t="e">
        <f>VLOOKUP(E10,영문국문명!$D$2:$F$252,3,0)</f>
        <v>#N/A</v>
      </c>
      <c r="H10" s="40" t="e">
        <f>VLOOKUP(G10,CC정리!$B$5:$C$34,2,0)</f>
        <v>#N/A</v>
      </c>
      <c r="I10" s="39" t="s">
        <v>102</v>
      </c>
      <c r="J10" s="39" t="s">
        <v>103</v>
      </c>
      <c r="K10" s="19" t="s">
        <v>85</v>
      </c>
      <c r="L10" s="19" t="s">
        <v>86</v>
      </c>
      <c r="M10" s="19" t="s">
        <v>87</v>
      </c>
      <c r="N10" s="19" t="s">
        <v>98</v>
      </c>
      <c r="O10" s="19" t="s">
        <v>104</v>
      </c>
      <c r="P10" s="19" t="s">
        <v>94</v>
      </c>
      <c r="Q10" s="19" t="s">
        <v>91</v>
      </c>
      <c r="R10" s="55">
        <v>192600</v>
      </c>
      <c r="S10" s="55">
        <v>0</v>
      </c>
      <c r="T10" s="55">
        <v>0</v>
      </c>
      <c r="U10" s="55">
        <v>192600</v>
      </c>
      <c r="V10" s="19" t="s">
        <v>92</v>
      </c>
      <c r="X10" s="70"/>
    </row>
    <row r="11" spans="1:24" x14ac:dyDescent="0.3">
      <c r="B11" s="19" t="s">
        <v>80</v>
      </c>
      <c r="C11" s="19" t="s">
        <v>81</v>
      </c>
      <c r="D11" s="54">
        <v>18602804</v>
      </c>
      <c r="E11" t="s">
        <v>105</v>
      </c>
      <c r="F11" s="20" t="e">
        <f>VLOOKUP(E11,영문국문명!$D$2:$F$252,2,0)</f>
        <v>#N/A</v>
      </c>
      <c r="G11" s="20" t="e">
        <f>VLOOKUP(E11,영문국문명!$D$2:$F$252,3,0)</f>
        <v>#N/A</v>
      </c>
      <c r="H11" s="40" t="e">
        <f>VLOOKUP(G11,CC정리!$B$5:$C$34,2,0)</f>
        <v>#N/A</v>
      </c>
      <c r="I11" s="39" t="s">
        <v>102</v>
      </c>
      <c r="J11" s="39" t="s">
        <v>103</v>
      </c>
      <c r="K11" s="19" t="s">
        <v>85</v>
      </c>
      <c r="L11" s="19" t="s">
        <v>86</v>
      </c>
      <c r="M11" s="19" t="s">
        <v>87</v>
      </c>
      <c r="N11" s="19" t="s">
        <v>98</v>
      </c>
      <c r="O11" s="19" t="s">
        <v>104</v>
      </c>
      <c r="P11" s="19" t="s">
        <v>94</v>
      </c>
      <c r="Q11" s="19" t="s">
        <v>91</v>
      </c>
      <c r="R11" s="55">
        <v>192600</v>
      </c>
      <c r="S11" s="55">
        <v>0</v>
      </c>
      <c r="T11" s="55">
        <v>0</v>
      </c>
      <c r="U11" s="55">
        <v>192600</v>
      </c>
      <c r="V11" s="19" t="s">
        <v>92</v>
      </c>
      <c r="X11" s="70"/>
    </row>
    <row r="12" spans="1:24" x14ac:dyDescent="0.3">
      <c r="B12" s="19" t="s">
        <v>80</v>
      </c>
      <c r="C12" s="19" t="s">
        <v>81</v>
      </c>
      <c r="D12" s="54">
        <v>19601804</v>
      </c>
      <c r="E12" t="s">
        <v>100</v>
      </c>
      <c r="F12" s="20" t="e">
        <f>VLOOKUP(E12,영문국문명!$D$2:$F$252,2,0)</f>
        <v>#N/A</v>
      </c>
      <c r="G12" s="20" t="e">
        <f>VLOOKUP(E12,영문국문명!$D$2:$F$252,3,0)</f>
        <v>#N/A</v>
      </c>
      <c r="H12" s="40" t="e">
        <f>VLOOKUP(G12,CC정리!$B$5:$C$34,2,0)</f>
        <v>#N/A</v>
      </c>
      <c r="I12" s="39" t="s">
        <v>96</v>
      </c>
      <c r="J12" s="39" t="s">
        <v>97</v>
      </c>
      <c r="K12" s="19" t="s">
        <v>85</v>
      </c>
      <c r="L12" s="19" t="s">
        <v>86</v>
      </c>
      <c r="M12" s="19" t="s">
        <v>87</v>
      </c>
      <c r="N12" s="19" t="s">
        <v>98</v>
      </c>
      <c r="O12" s="19" t="s">
        <v>89</v>
      </c>
      <c r="P12" s="19" t="s">
        <v>90</v>
      </c>
      <c r="Q12" s="19" t="s">
        <v>91</v>
      </c>
      <c r="R12" s="55">
        <v>643800</v>
      </c>
      <c r="S12" s="55">
        <v>0</v>
      </c>
      <c r="T12" s="55">
        <v>0</v>
      </c>
      <c r="U12" s="55">
        <v>643800</v>
      </c>
      <c r="V12" s="19" t="s">
        <v>92</v>
      </c>
      <c r="X12" s="70"/>
    </row>
    <row r="13" spans="1:24" x14ac:dyDescent="0.3">
      <c r="B13" s="19" t="s">
        <v>80</v>
      </c>
      <c r="C13" s="19" t="s">
        <v>81</v>
      </c>
      <c r="D13" s="54">
        <v>10601704</v>
      </c>
      <c r="E13" t="s">
        <v>105</v>
      </c>
      <c r="F13" s="20" t="e">
        <f>VLOOKUP(E13,영문국문명!$D$2:$F$252,2,0)</f>
        <v>#N/A</v>
      </c>
      <c r="G13" s="20" t="e">
        <f>VLOOKUP(E13,영문국문명!$D$2:$F$252,3,0)</f>
        <v>#N/A</v>
      </c>
      <c r="H13" s="40" t="e">
        <f>VLOOKUP(G13,CC정리!$B$5:$C$34,2,0)</f>
        <v>#N/A</v>
      </c>
      <c r="I13" s="39" t="s">
        <v>106</v>
      </c>
      <c r="J13" s="39" t="s">
        <v>107</v>
      </c>
      <c r="K13" s="19" t="s">
        <v>85</v>
      </c>
      <c r="L13" s="19" t="s">
        <v>86</v>
      </c>
      <c r="M13" s="19" t="s">
        <v>87</v>
      </c>
      <c r="N13" s="19" t="s">
        <v>108</v>
      </c>
      <c r="O13" s="19" t="s">
        <v>89</v>
      </c>
      <c r="P13" s="19" t="s">
        <v>90</v>
      </c>
      <c r="Q13" s="19" t="s">
        <v>91</v>
      </c>
      <c r="R13" s="55">
        <v>2186700</v>
      </c>
      <c r="S13" s="55">
        <v>0</v>
      </c>
      <c r="T13" s="55">
        <v>0</v>
      </c>
      <c r="U13" s="55">
        <v>2186700</v>
      </c>
      <c r="V13" s="19" t="s">
        <v>92</v>
      </c>
      <c r="X13" s="70"/>
    </row>
    <row r="14" spans="1:24" x14ac:dyDescent="0.3">
      <c r="B14" s="19" t="s">
        <v>80</v>
      </c>
      <c r="C14" s="19" t="s">
        <v>81</v>
      </c>
      <c r="D14" s="54">
        <v>12601704</v>
      </c>
      <c r="E14" t="s">
        <v>109</v>
      </c>
      <c r="F14" s="20" t="str">
        <f>VLOOKUP(E14,영문국문명!$D$2:$F$252,2,0)</f>
        <v>고재홍</v>
      </c>
      <c r="G14" s="20" t="str">
        <f>VLOOKUP(E14,영문국문명!$D$2:$F$252,3,0)</f>
        <v>DDI개발담당_임원</v>
      </c>
      <c r="H14" s="40" t="str">
        <f>VLOOKUP(G14,CC정리!$B$5:$C$34,2,0)</f>
        <v>D2A701</v>
      </c>
      <c r="I14" t="s">
        <v>106</v>
      </c>
      <c r="J14" t="s">
        <v>107</v>
      </c>
      <c r="K14" s="19" t="s">
        <v>85</v>
      </c>
      <c r="L14" s="19" t="s">
        <v>86</v>
      </c>
      <c r="M14" s="19" t="s">
        <v>87</v>
      </c>
      <c r="N14" s="19" t="s">
        <v>108</v>
      </c>
      <c r="O14" s="19" t="s">
        <v>89</v>
      </c>
      <c r="P14" s="19" t="s">
        <v>90</v>
      </c>
      <c r="Q14" s="19" t="s">
        <v>91</v>
      </c>
      <c r="R14" s="55">
        <v>7620200</v>
      </c>
      <c r="S14" s="55">
        <v>0</v>
      </c>
      <c r="T14" s="55">
        <v>0</v>
      </c>
      <c r="U14" s="55">
        <v>7620200</v>
      </c>
      <c r="V14" s="19" t="s">
        <v>92</v>
      </c>
      <c r="X14" s="70"/>
    </row>
    <row r="15" spans="1:24" x14ac:dyDescent="0.3">
      <c r="B15" s="19" t="s">
        <v>80</v>
      </c>
      <c r="C15" s="19" t="s">
        <v>81</v>
      </c>
      <c r="D15" s="54">
        <v>13601704</v>
      </c>
      <c r="E15" t="s">
        <v>109</v>
      </c>
      <c r="F15" s="20" t="str">
        <f>VLOOKUP(E15,영문국문명!$D$2:$F$252,2,0)</f>
        <v>고재홍</v>
      </c>
      <c r="G15" s="20" t="str">
        <f>VLOOKUP(E15,영문국문명!$D$2:$F$252,3,0)</f>
        <v>DDI개발담당_임원</v>
      </c>
      <c r="H15" s="40" t="str">
        <f>VLOOKUP(G15,CC정리!$B$5:$C$34,2,0)</f>
        <v>D2A701</v>
      </c>
      <c r="I15" t="s">
        <v>106</v>
      </c>
      <c r="J15" t="s">
        <v>107</v>
      </c>
      <c r="K15" s="19" t="s">
        <v>85</v>
      </c>
      <c r="L15" s="19" t="s">
        <v>86</v>
      </c>
      <c r="M15" s="19" t="s">
        <v>87</v>
      </c>
      <c r="N15" s="19" t="s">
        <v>108</v>
      </c>
      <c r="O15" s="19" t="s">
        <v>93</v>
      </c>
      <c r="P15" s="19" t="s">
        <v>94</v>
      </c>
      <c r="Q15" s="19" t="s">
        <v>91</v>
      </c>
      <c r="R15" s="55">
        <v>322234</v>
      </c>
      <c r="S15" s="55">
        <v>0</v>
      </c>
      <c r="T15" s="55">
        <v>0</v>
      </c>
      <c r="U15" s="55">
        <v>322234</v>
      </c>
      <c r="V15" s="19" t="s">
        <v>92</v>
      </c>
      <c r="X15" s="70"/>
    </row>
    <row r="16" spans="1:24" x14ac:dyDescent="0.3">
      <c r="B16" s="19" t="s">
        <v>80</v>
      </c>
      <c r="C16" s="19" t="s">
        <v>81</v>
      </c>
      <c r="D16" s="54">
        <v>14601704</v>
      </c>
      <c r="E16" t="s">
        <v>110</v>
      </c>
      <c r="F16" s="20" t="str">
        <f>VLOOKUP(E16,영문국문명!$D$2:$F$252,2,0)</f>
        <v>홍형도</v>
      </c>
      <c r="G16" s="20" t="str">
        <f>VLOOKUP(E16,영문국문명!$D$2:$F$252,3,0)</f>
        <v>DDI마케팅파트</v>
      </c>
      <c r="H16" s="40" t="str">
        <f>VLOOKUP(G16,CC정리!$B$5:$C$34,2,0)</f>
        <v>B2D330</v>
      </c>
      <c r="I16" t="s">
        <v>106</v>
      </c>
      <c r="J16" t="s">
        <v>107</v>
      </c>
      <c r="K16" s="19" t="s">
        <v>85</v>
      </c>
      <c r="L16" s="19" t="s">
        <v>86</v>
      </c>
      <c r="M16" s="19" t="s">
        <v>87</v>
      </c>
      <c r="N16" s="19" t="s">
        <v>108</v>
      </c>
      <c r="O16" s="19" t="s">
        <v>93</v>
      </c>
      <c r="P16" s="19" t="s">
        <v>94</v>
      </c>
      <c r="Q16" s="19" t="s">
        <v>91</v>
      </c>
      <c r="R16" s="55">
        <v>83160</v>
      </c>
      <c r="S16" s="55">
        <v>0</v>
      </c>
      <c r="T16" s="55">
        <v>0</v>
      </c>
      <c r="U16" s="55">
        <v>83160</v>
      </c>
      <c r="V16" s="19" t="s">
        <v>92</v>
      </c>
      <c r="X16" s="70"/>
    </row>
    <row r="17" spans="2:24" x14ac:dyDescent="0.3">
      <c r="B17" s="19" t="s">
        <v>80</v>
      </c>
      <c r="C17" s="19" t="s">
        <v>81</v>
      </c>
      <c r="D17" s="54">
        <v>15601704</v>
      </c>
      <c r="E17" t="s">
        <v>105</v>
      </c>
      <c r="F17" s="20" t="e">
        <f>VLOOKUP(E17,영문국문명!$D$2:$F$252,2,0)</f>
        <v>#N/A</v>
      </c>
      <c r="G17" s="20" t="e">
        <f>VLOOKUP(E17,영문국문명!$D$2:$F$252,3,0)</f>
        <v>#N/A</v>
      </c>
      <c r="H17" s="40" t="e">
        <f>VLOOKUP(G17,CC정리!$B$5:$C$34,2,0)</f>
        <v>#N/A</v>
      </c>
      <c r="I17" s="39" t="s">
        <v>106</v>
      </c>
      <c r="J17" s="39" t="s">
        <v>107</v>
      </c>
      <c r="K17" s="19" t="s">
        <v>85</v>
      </c>
      <c r="L17" s="19" t="s">
        <v>86</v>
      </c>
      <c r="M17" s="19" t="s">
        <v>87</v>
      </c>
      <c r="N17" s="19" t="s">
        <v>108</v>
      </c>
      <c r="O17" s="19" t="s">
        <v>93</v>
      </c>
      <c r="P17" s="19" t="s">
        <v>94</v>
      </c>
      <c r="Q17" s="19" t="s">
        <v>91</v>
      </c>
      <c r="R17" s="55">
        <v>83160</v>
      </c>
      <c r="S17" s="55">
        <v>0</v>
      </c>
      <c r="T17" s="55">
        <v>0</v>
      </c>
      <c r="U17" s="55">
        <v>83160</v>
      </c>
      <c r="V17" s="19" t="s">
        <v>92</v>
      </c>
      <c r="X17" s="70"/>
    </row>
    <row r="18" spans="2:24" x14ac:dyDescent="0.3">
      <c r="B18" s="19" t="s">
        <v>80</v>
      </c>
      <c r="C18" s="19" t="s">
        <v>81</v>
      </c>
      <c r="D18" s="54">
        <v>16601704</v>
      </c>
      <c r="E18" t="s">
        <v>101</v>
      </c>
      <c r="F18" s="20" t="e">
        <f>VLOOKUP(E18,영문국문명!$D$2:$F$252,2,0)</f>
        <v>#N/A</v>
      </c>
      <c r="G18" s="20" t="e">
        <f>VLOOKUP(E18,영문국문명!$D$2:$F$252,3,0)</f>
        <v>#N/A</v>
      </c>
      <c r="H18" s="40" t="e">
        <f>VLOOKUP(G18,CC정리!$B$5:$C$34,2,0)</f>
        <v>#N/A</v>
      </c>
      <c r="I18" s="39" t="s">
        <v>102</v>
      </c>
      <c r="J18" s="39" t="s">
        <v>103</v>
      </c>
      <c r="K18" s="19" t="s">
        <v>85</v>
      </c>
      <c r="L18" s="19" t="s">
        <v>86</v>
      </c>
      <c r="M18" s="19" t="s">
        <v>87</v>
      </c>
      <c r="N18" s="19" t="s">
        <v>108</v>
      </c>
      <c r="O18" s="19" t="s">
        <v>93</v>
      </c>
      <c r="P18" s="19" t="s">
        <v>94</v>
      </c>
      <c r="Q18" s="19" t="s">
        <v>91</v>
      </c>
      <c r="R18" s="55">
        <v>8461</v>
      </c>
      <c r="S18" s="55">
        <v>0</v>
      </c>
      <c r="T18" s="55">
        <v>0</v>
      </c>
      <c r="U18" s="55">
        <v>8461</v>
      </c>
      <c r="V18" s="19" t="s">
        <v>92</v>
      </c>
      <c r="X18" s="70"/>
    </row>
    <row r="19" spans="2:24" x14ac:dyDescent="0.3">
      <c r="B19" s="19" t="s">
        <v>80</v>
      </c>
      <c r="C19" s="19" t="s">
        <v>81</v>
      </c>
      <c r="D19" s="54">
        <v>17601704</v>
      </c>
      <c r="E19" t="s">
        <v>105</v>
      </c>
      <c r="F19" s="20" t="e">
        <f>VLOOKUP(E19,영문국문명!$D$2:$F$252,2,0)</f>
        <v>#N/A</v>
      </c>
      <c r="G19" s="20" t="e">
        <f>VLOOKUP(E19,영문국문명!$D$2:$F$252,3,0)</f>
        <v>#N/A</v>
      </c>
      <c r="H19" s="40" t="e">
        <f>VLOOKUP(G19,CC정리!$B$5:$C$34,2,0)</f>
        <v>#N/A</v>
      </c>
      <c r="I19" s="39" t="s">
        <v>102</v>
      </c>
      <c r="J19" s="39" t="s">
        <v>103</v>
      </c>
      <c r="K19" s="19" t="s">
        <v>85</v>
      </c>
      <c r="L19" s="19" t="s">
        <v>86</v>
      </c>
      <c r="M19" s="19" t="s">
        <v>87</v>
      </c>
      <c r="N19" s="19" t="s">
        <v>108</v>
      </c>
      <c r="O19" s="19" t="s">
        <v>93</v>
      </c>
      <c r="P19" s="19" t="s">
        <v>94</v>
      </c>
      <c r="Q19" s="19" t="s">
        <v>91</v>
      </c>
      <c r="R19" s="55">
        <v>8461</v>
      </c>
      <c r="S19" s="55">
        <v>0</v>
      </c>
      <c r="T19" s="55">
        <v>0</v>
      </c>
      <c r="U19" s="55">
        <v>8461</v>
      </c>
      <c r="V19" s="19" t="s">
        <v>92</v>
      </c>
      <c r="X19" s="70"/>
    </row>
    <row r="20" spans="2:24" x14ac:dyDescent="0.3">
      <c r="B20" s="19" t="s">
        <v>80</v>
      </c>
      <c r="C20" s="19" t="s">
        <v>81</v>
      </c>
      <c r="D20" s="54">
        <v>18600704</v>
      </c>
      <c r="E20" t="s">
        <v>110</v>
      </c>
      <c r="F20" s="20" t="str">
        <f>VLOOKUP(E20,영문국문명!$D$2:$F$252,2,0)</f>
        <v>홍형도</v>
      </c>
      <c r="G20" s="20" t="str">
        <f>VLOOKUP(E20,영문국문명!$D$2:$F$252,3,0)</f>
        <v>DDI마케팅파트</v>
      </c>
      <c r="H20" s="40" t="str">
        <f>VLOOKUP(G20,CC정리!$B$5:$C$34,2,0)</f>
        <v>B2D330</v>
      </c>
      <c r="I20" t="s">
        <v>106</v>
      </c>
      <c r="J20" t="s">
        <v>107</v>
      </c>
      <c r="K20" s="19" t="s">
        <v>85</v>
      </c>
      <c r="L20" s="19" t="s">
        <v>86</v>
      </c>
      <c r="M20" s="19" t="s">
        <v>87</v>
      </c>
      <c r="N20" s="19" t="s">
        <v>108</v>
      </c>
      <c r="O20" s="19" t="s">
        <v>89</v>
      </c>
      <c r="P20" s="19" t="s">
        <v>90</v>
      </c>
      <c r="Q20" s="19" t="s">
        <v>91</v>
      </c>
      <c r="R20" s="55">
        <v>2186700</v>
      </c>
      <c r="S20" s="55">
        <v>0</v>
      </c>
      <c r="T20" s="55">
        <v>0</v>
      </c>
      <c r="U20" s="55">
        <v>2186700</v>
      </c>
      <c r="V20" s="19" t="s">
        <v>92</v>
      </c>
      <c r="X20" s="70"/>
    </row>
    <row r="21" spans="2:24" x14ac:dyDescent="0.3">
      <c r="B21" s="19" t="s">
        <v>111</v>
      </c>
      <c r="C21" s="19" t="s">
        <v>81</v>
      </c>
      <c r="D21" s="54">
        <v>13601704</v>
      </c>
      <c r="E21" t="s">
        <v>109</v>
      </c>
      <c r="F21" s="20" t="str">
        <f>VLOOKUP(E21,영문국문명!$D$2:$F$252,2,0)</f>
        <v>고재홍</v>
      </c>
      <c r="G21" s="20" t="str">
        <f>VLOOKUP(E21,영문국문명!$D$2:$F$252,3,0)</f>
        <v>DDI개발담당_임원</v>
      </c>
      <c r="H21" s="40" t="str">
        <f>VLOOKUP(G21,CC정리!$B$5:$C$34,2,0)</f>
        <v>D2A701</v>
      </c>
      <c r="I21" t="s">
        <v>106</v>
      </c>
      <c r="J21" t="s">
        <v>107</v>
      </c>
      <c r="K21" s="19" t="s">
        <v>85</v>
      </c>
      <c r="L21" s="19" t="s">
        <v>86</v>
      </c>
      <c r="M21" s="19" t="s">
        <v>87</v>
      </c>
      <c r="N21" s="19" t="s">
        <v>108</v>
      </c>
      <c r="O21" s="19" t="s">
        <v>93</v>
      </c>
      <c r="P21" s="19" t="s">
        <v>94</v>
      </c>
      <c r="Q21" s="19" t="s">
        <v>91</v>
      </c>
      <c r="R21" s="55">
        <v>-322234</v>
      </c>
      <c r="S21" s="55">
        <v>0</v>
      </c>
      <c r="T21" s="55">
        <v>0</v>
      </c>
      <c r="U21" s="55">
        <v>-322234</v>
      </c>
      <c r="V21" s="19" t="s">
        <v>92</v>
      </c>
      <c r="X21" s="70"/>
    </row>
    <row r="22" spans="2:24" x14ac:dyDescent="0.3">
      <c r="B22" s="19" t="s">
        <v>111</v>
      </c>
      <c r="C22" s="19" t="s">
        <v>81</v>
      </c>
      <c r="D22" s="54">
        <v>14601704</v>
      </c>
      <c r="E22" t="s">
        <v>110</v>
      </c>
      <c r="F22" s="20" t="str">
        <f>VLOOKUP(E22,영문국문명!$D$2:$F$252,2,0)</f>
        <v>홍형도</v>
      </c>
      <c r="G22" s="20" t="str">
        <f>VLOOKUP(E22,영문국문명!$D$2:$F$252,3,0)</f>
        <v>DDI마케팅파트</v>
      </c>
      <c r="H22" s="40" t="str">
        <f>VLOOKUP(G22,CC정리!$B$5:$C$34,2,0)</f>
        <v>B2D330</v>
      </c>
      <c r="I22" t="s">
        <v>106</v>
      </c>
      <c r="J22" t="s">
        <v>107</v>
      </c>
      <c r="K22" s="19" t="s">
        <v>85</v>
      </c>
      <c r="L22" s="19" t="s">
        <v>86</v>
      </c>
      <c r="M22" s="19" t="s">
        <v>87</v>
      </c>
      <c r="N22" s="19" t="s">
        <v>108</v>
      </c>
      <c r="O22" s="19" t="s">
        <v>93</v>
      </c>
      <c r="P22" s="19" t="s">
        <v>94</v>
      </c>
      <c r="Q22" s="19" t="s">
        <v>91</v>
      </c>
      <c r="R22" s="55">
        <v>-83160</v>
      </c>
      <c r="S22" s="55">
        <v>0</v>
      </c>
      <c r="T22" s="55">
        <v>0</v>
      </c>
      <c r="U22" s="55">
        <v>-83160</v>
      </c>
      <c r="V22" s="19" t="s">
        <v>92</v>
      </c>
      <c r="X22" s="70"/>
    </row>
    <row r="23" spans="2:24" x14ac:dyDescent="0.3">
      <c r="B23" s="19" t="s">
        <v>111</v>
      </c>
      <c r="C23" s="19" t="s">
        <v>81</v>
      </c>
      <c r="D23" s="54">
        <v>18600704</v>
      </c>
      <c r="E23" t="s">
        <v>110</v>
      </c>
      <c r="F23" s="20" t="str">
        <f>VLOOKUP(E23,영문국문명!$D$2:$F$252,2,0)</f>
        <v>홍형도</v>
      </c>
      <c r="G23" s="20" t="str">
        <f>VLOOKUP(E23,영문국문명!$D$2:$F$252,3,0)</f>
        <v>DDI마케팅파트</v>
      </c>
      <c r="H23" s="40" t="str">
        <f>VLOOKUP(G23,CC정리!$B$5:$C$34,2,0)</f>
        <v>B2D330</v>
      </c>
      <c r="I23" t="s">
        <v>106</v>
      </c>
      <c r="J23" t="s">
        <v>107</v>
      </c>
      <c r="K23" s="19" t="s">
        <v>85</v>
      </c>
      <c r="L23" s="19" t="s">
        <v>86</v>
      </c>
      <c r="M23" s="19" t="s">
        <v>87</v>
      </c>
      <c r="N23" s="19" t="s">
        <v>108</v>
      </c>
      <c r="O23" s="19" t="s">
        <v>89</v>
      </c>
      <c r="P23" s="19" t="s">
        <v>90</v>
      </c>
      <c r="Q23" s="19" t="s">
        <v>91</v>
      </c>
      <c r="R23" s="55">
        <v>-1986700</v>
      </c>
      <c r="S23" s="55">
        <v>0</v>
      </c>
      <c r="T23" s="55">
        <v>0</v>
      </c>
      <c r="U23" s="55">
        <v>-1986700</v>
      </c>
      <c r="V23" s="19" t="s">
        <v>92</v>
      </c>
      <c r="X23" s="70"/>
    </row>
    <row r="24" spans="2:24" x14ac:dyDescent="0.3">
      <c r="B24" s="19" t="s">
        <v>80</v>
      </c>
      <c r="C24" s="19" t="s">
        <v>81</v>
      </c>
      <c r="D24" s="54">
        <v>12600604</v>
      </c>
      <c r="E24" t="s">
        <v>112</v>
      </c>
      <c r="F24" s="20" t="str">
        <f>VLOOKUP(E24,영문국문명!$D$2:$F$252,2,0)</f>
        <v>박찬호</v>
      </c>
      <c r="G24" s="20" t="str">
        <f>VLOOKUP(E24,영문국문명!$D$2:$F$252,3,0)</f>
        <v>DB글로벌칩_임원</v>
      </c>
      <c r="H24" s="40" t="str">
        <f>VLOOKUP(G24,CC정리!$B$5:$C$34,2,0)</f>
        <v>B2D102</v>
      </c>
      <c r="I24" t="s">
        <v>113</v>
      </c>
      <c r="J24" t="s">
        <v>107</v>
      </c>
      <c r="K24" s="19" t="s">
        <v>85</v>
      </c>
      <c r="L24" s="19" t="s">
        <v>86</v>
      </c>
      <c r="M24" s="19" t="s">
        <v>87</v>
      </c>
      <c r="N24" s="19" t="s">
        <v>114</v>
      </c>
      <c r="O24" s="19" t="s">
        <v>89</v>
      </c>
      <c r="P24" s="19" t="s">
        <v>90</v>
      </c>
      <c r="Q24" s="19" t="s">
        <v>91</v>
      </c>
      <c r="R24" s="55">
        <v>7620000</v>
      </c>
      <c r="S24" s="55">
        <v>0</v>
      </c>
      <c r="T24" s="55">
        <v>0</v>
      </c>
      <c r="U24" s="55">
        <v>7620000</v>
      </c>
      <c r="V24" s="19" t="s">
        <v>92</v>
      </c>
      <c r="X24" s="70"/>
    </row>
    <row r="25" spans="2:24" x14ac:dyDescent="0.3">
      <c r="B25" s="19" t="s">
        <v>80</v>
      </c>
      <c r="C25" s="19" t="s">
        <v>81</v>
      </c>
      <c r="D25" s="54">
        <v>13600604</v>
      </c>
      <c r="E25" t="s">
        <v>112</v>
      </c>
      <c r="F25" s="20" t="str">
        <f>VLOOKUP(E25,영문국문명!$D$2:$F$252,2,0)</f>
        <v>박찬호</v>
      </c>
      <c r="G25" s="20" t="str">
        <f>VLOOKUP(E25,영문국문명!$D$2:$F$252,3,0)</f>
        <v>DB글로벌칩_임원</v>
      </c>
      <c r="H25" s="40" t="str">
        <f>VLOOKUP(G25,CC정리!$B$5:$C$34,2,0)</f>
        <v>B2D102</v>
      </c>
      <c r="I25" t="s">
        <v>113</v>
      </c>
      <c r="J25" t="s">
        <v>107</v>
      </c>
      <c r="K25" s="19" t="s">
        <v>85</v>
      </c>
      <c r="L25" s="19" t="s">
        <v>86</v>
      </c>
      <c r="M25" s="19" t="s">
        <v>87</v>
      </c>
      <c r="N25" s="19" t="s">
        <v>114</v>
      </c>
      <c r="O25" s="19" t="s">
        <v>93</v>
      </c>
      <c r="P25" s="19" t="s">
        <v>94</v>
      </c>
      <c r="Q25" s="19" t="s">
        <v>91</v>
      </c>
      <c r="R25" s="55">
        <v>322234</v>
      </c>
      <c r="S25" s="55">
        <v>0</v>
      </c>
      <c r="T25" s="55">
        <v>0</v>
      </c>
      <c r="U25" s="55">
        <v>322234</v>
      </c>
      <c r="V25" s="19" t="s">
        <v>92</v>
      </c>
      <c r="X25" s="70"/>
    </row>
    <row r="26" spans="2:24" x14ac:dyDescent="0.3">
      <c r="B26" s="19" t="s">
        <v>80</v>
      </c>
      <c r="C26" s="19" t="s">
        <v>81</v>
      </c>
      <c r="D26" s="54">
        <v>15600604</v>
      </c>
      <c r="E26" t="s">
        <v>115</v>
      </c>
      <c r="F26" s="20" t="str">
        <f>VLOOKUP(E26,영문국문명!$D$2:$F$252,2,0)</f>
        <v>윤추실</v>
      </c>
      <c r="G26" s="20" t="str">
        <f>VLOOKUP(E26,영문국문명!$D$2:$F$252,3,0)</f>
        <v>제품기술팀</v>
      </c>
      <c r="H26" s="40" t="str">
        <f>VLOOKUP(G26,CC정리!$B$5:$C$34,2,0)</f>
        <v>D2A410</v>
      </c>
      <c r="I26" t="s">
        <v>116</v>
      </c>
      <c r="J26" t="s">
        <v>117</v>
      </c>
      <c r="K26" s="19" t="s">
        <v>85</v>
      </c>
      <c r="L26" s="19" t="s">
        <v>86</v>
      </c>
      <c r="M26" s="19" t="s">
        <v>87</v>
      </c>
      <c r="N26" s="19" t="s">
        <v>114</v>
      </c>
      <c r="O26" s="19" t="s">
        <v>89</v>
      </c>
      <c r="P26" s="19" t="s">
        <v>90</v>
      </c>
      <c r="Q26" s="19" t="s">
        <v>91</v>
      </c>
      <c r="R26" s="55">
        <v>830400</v>
      </c>
      <c r="S26" s="55">
        <v>0</v>
      </c>
      <c r="T26" s="55">
        <v>0</v>
      </c>
      <c r="U26" s="55">
        <v>830400</v>
      </c>
      <c r="V26" s="19" t="s">
        <v>92</v>
      </c>
      <c r="X26" s="70"/>
    </row>
    <row r="27" spans="2:24" x14ac:dyDescent="0.3">
      <c r="B27" s="19" t="s">
        <v>80</v>
      </c>
      <c r="C27" s="19" t="s">
        <v>81</v>
      </c>
      <c r="D27" s="54">
        <v>16600604</v>
      </c>
      <c r="E27" t="s">
        <v>115</v>
      </c>
      <c r="F27" s="20" t="str">
        <f>VLOOKUP(E27,영문국문명!$D$2:$F$252,2,0)</f>
        <v>윤추실</v>
      </c>
      <c r="G27" s="20" t="str">
        <f>VLOOKUP(E27,영문국문명!$D$2:$F$252,3,0)</f>
        <v>제품기술팀</v>
      </c>
      <c r="H27" s="40" t="str">
        <f>VLOOKUP(G27,CC정리!$B$5:$C$34,2,0)</f>
        <v>D2A410</v>
      </c>
      <c r="I27" t="s">
        <v>116</v>
      </c>
      <c r="J27" t="s">
        <v>117</v>
      </c>
      <c r="K27" s="19" t="s">
        <v>85</v>
      </c>
      <c r="L27" s="19" t="s">
        <v>86</v>
      </c>
      <c r="M27" s="19" t="s">
        <v>87</v>
      </c>
      <c r="N27" s="19" t="s">
        <v>114</v>
      </c>
      <c r="O27" s="19" t="s">
        <v>93</v>
      </c>
      <c r="P27" s="19" t="s">
        <v>94</v>
      </c>
      <c r="Q27" s="19" t="s">
        <v>91</v>
      </c>
      <c r="R27" s="55">
        <v>32370</v>
      </c>
      <c r="S27" s="55">
        <v>0</v>
      </c>
      <c r="T27" s="55">
        <v>0</v>
      </c>
      <c r="U27" s="55">
        <v>32370</v>
      </c>
      <c r="V27" s="19" t="s">
        <v>92</v>
      </c>
      <c r="X27" s="70"/>
    </row>
    <row r="28" spans="2:24" x14ac:dyDescent="0.3">
      <c r="B28" s="19" t="s">
        <v>111</v>
      </c>
      <c r="C28" s="19" t="s">
        <v>81</v>
      </c>
      <c r="D28" s="54">
        <v>12600604</v>
      </c>
      <c r="E28" t="s">
        <v>112</v>
      </c>
      <c r="F28" s="20" t="str">
        <f>VLOOKUP(E28,영문국문명!$D$2:$F$252,2,0)</f>
        <v>박찬호</v>
      </c>
      <c r="G28" s="20" t="str">
        <f>VLOOKUP(E28,영문국문명!$D$2:$F$252,3,0)</f>
        <v>DB글로벌칩_임원</v>
      </c>
      <c r="H28" s="40" t="str">
        <f>VLOOKUP(G28,CC정리!$B$5:$C$34,2,0)</f>
        <v>B2D102</v>
      </c>
      <c r="I28" t="s">
        <v>113</v>
      </c>
      <c r="J28" t="s">
        <v>107</v>
      </c>
      <c r="K28" s="19" t="s">
        <v>85</v>
      </c>
      <c r="L28" s="19" t="s">
        <v>86</v>
      </c>
      <c r="M28" s="19" t="s">
        <v>87</v>
      </c>
      <c r="N28" s="19" t="s">
        <v>114</v>
      </c>
      <c r="O28" s="19" t="s">
        <v>89</v>
      </c>
      <c r="P28" s="19" t="s">
        <v>90</v>
      </c>
      <c r="Q28" s="19" t="s">
        <v>91</v>
      </c>
      <c r="R28" s="55">
        <v>-7470000</v>
      </c>
      <c r="S28" s="55">
        <v>0</v>
      </c>
      <c r="T28" s="55">
        <v>0</v>
      </c>
      <c r="U28" s="55">
        <v>-7470000</v>
      </c>
      <c r="V28" s="19" t="s">
        <v>92</v>
      </c>
      <c r="X28" s="70"/>
    </row>
    <row r="29" spans="2:24" x14ac:dyDescent="0.3">
      <c r="B29" s="19" t="s">
        <v>111</v>
      </c>
      <c r="C29" s="19" t="s">
        <v>81</v>
      </c>
      <c r="D29" s="54">
        <v>13600604</v>
      </c>
      <c r="E29" t="s">
        <v>112</v>
      </c>
      <c r="F29" s="20" t="str">
        <f>VLOOKUP(E29,영문국문명!$D$2:$F$252,2,0)</f>
        <v>박찬호</v>
      </c>
      <c r="G29" s="20" t="str">
        <f>VLOOKUP(E29,영문국문명!$D$2:$F$252,3,0)</f>
        <v>DB글로벌칩_임원</v>
      </c>
      <c r="H29" s="40" t="str">
        <f>VLOOKUP(G29,CC정리!$B$5:$C$34,2,0)</f>
        <v>B2D102</v>
      </c>
      <c r="I29" t="s">
        <v>113</v>
      </c>
      <c r="J29" t="s">
        <v>107</v>
      </c>
      <c r="K29" s="19" t="s">
        <v>85</v>
      </c>
      <c r="L29" s="19" t="s">
        <v>86</v>
      </c>
      <c r="M29" s="19" t="s">
        <v>87</v>
      </c>
      <c r="N29" s="19" t="s">
        <v>114</v>
      </c>
      <c r="O29" s="19" t="s">
        <v>93</v>
      </c>
      <c r="P29" s="19" t="s">
        <v>94</v>
      </c>
      <c r="Q29" s="19" t="s">
        <v>91</v>
      </c>
      <c r="R29" s="55">
        <v>-322234</v>
      </c>
      <c r="S29" s="55">
        <v>0</v>
      </c>
      <c r="T29" s="55">
        <v>0</v>
      </c>
      <c r="U29" s="55">
        <v>-322234</v>
      </c>
      <c r="V29" s="19" t="s">
        <v>92</v>
      </c>
      <c r="X29" s="70"/>
    </row>
    <row r="30" spans="2:24" x14ac:dyDescent="0.3">
      <c r="B30" s="19" t="s">
        <v>80</v>
      </c>
      <c r="C30" s="19" t="s">
        <v>81</v>
      </c>
      <c r="D30" s="54">
        <v>10600304</v>
      </c>
      <c r="E30" t="s">
        <v>118</v>
      </c>
      <c r="F30" s="20" t="str">
        <f>VLOOKUP(E30,영문국문명!$D$2:$F$252,2,0)</f>
        <v>황대욱</v>
      </c>
      <c r="G30" s="20" t="str">
        <f>VLOOKUP(E30,영문국문명!$D$2:$F$252,3,0)</f>
        <v>DDI마케팅파트</v>
      </c>
      <c r="H30" s="40" t="str">
        <f>VLOOKUP(G30,CC정리!$B$5:$C$34,2,0)</f>
        <v>B2D330</v>
      </c>
      <c r="I30" t="s">
        <v>119</v>
      </c>
      <c r="J30" t="s">
        <v>120</v>
      </c>
      <c r="K30" s="19" t="s">
        <v>85</v>
      </c>
      <c r="L30" s="19" t="s">
        <v>86</v>
      </c>
      <c r="M30" s="19" t="s">
        <v>87</v>
      </c>
      <c r="N30" s="19" t="s">
        <v>121</v>
      </c>
      <c r="O30" s="19" t="s">
        <v>93</v>
      </c>
      <c r="P30" s="19" t="s">
        <v>94</v>
      </c>
      <c r="Q30" s="19" t="s">
        <v>91</v>
      </c>
      <c r="R30" s="55">
        <v>29920</v>
      </c>
      <c r="S30" s="55">
        <v>0</v>
      </c>
      <c r="T30" s="55">
        <v>0</v>
      </c>
      <c r="U30" s="55">
        <v>29920</v>
      </c>
      <c r="V30" s="19" t="s">
        <v>92</v>
      </c>
      <c r="X30" s="70"/>
    </row>
    <row r="31" spans="2:24" x14ac:dyDescent="0.3">
      <c r="B31" s="19" t="s">
        <v>80</v>
      </c>
      <c r="C31" s="19" t="s">
        <v>81</v>
      </c>
      <c r="D31" s="54">
        <v>10609303</v>
      </c>
      <c r="E31" t="s">
        <v>122</v>
      </c>
      <c r="F31" s="20" t="e">
        <f>VLOOKUP(E31,영문국문명!$D$2:$F$252,2,0)</f>
        <v>#N/A</v>
      </c>
      <c r="G31" s="20" t="e">
        <f>VLOOKUP(E31,영문국문명!$D$2:$F$252,3,0)</f>
        <v>#N/A</v>
      </c>
      <c r="H31" s="40" t="e">
        <f>VLOOKUP(G31,CC정리!$B$5:$C$34,2,0)</f>
        <v>#N/A</v>
      </c>
      <c r="I31" t="s">
        <v>119</v>
      </c>
      <c r="J31" t="s">
        <v>120</v>
      </c>
      <c r="K31" s="19" t="s">
        <v>85</v>
      </c>
      <c r="L31" s="19" t="s">
        <v>86</v>
      </c>
      <c r="M31" s="19" t="s">
        <v>87</v>
      </c>
      <c r="N31" s="19" t="s">
        <v>121</v>
      </c>
      <c r="O31" s="19" t="s">
        <v>89</v>
      </c>
      <c r="P31" s="19" t="s">
        <v>90</v>
      </c>
      <c r="Q31" s="19" t="s">
        <v>91</v>
      </c>
      <c r="R31" s="55">
        <v>765600</v>
      </c>
      <c r="S31" s="55">
        <v>0</v>
      </c>
      <c r="T31" s="55">
        <v>0</v>
      </c>
      <c r="U31" s="55">
        <v>765600</v>
      </c>
      <c r="V31" s="19" t="s">
        <v>92</v>
      </c>
      <c r="X31" s="70"/>
    </row>
    <row r="32" spans="2:24" x14ac:dyDescent="0.3">
      <c r="B32" s="19" t="s">
        <v>80</v>
      </c>
      <c r="C32" s="19" t="s">
        <v>81</v>
      </c>
      <c r="D32" s="54">
        <v>12609303</v>
      </c>
      <c r="E32" t="s">
        <v>123</v>
      </c>
      <c r="F32" s="20" t="str">
        <f>VLOOKUP(E32,영문국문명!$D$2:$F$252,2,0)</f>
        <v>변승찬</v>
      </c>
      <c r="G32" s="20" t="str">
        <f>VLOOKUP(E32,영문국문명!$D$2:$F$252,3,0)</f>
        <v>Digital IP파트</v>
      </c>
      <c r="H32" s="40" t="str">
        <f>VLOOKUP(G32,CC정리!$B$5:$C$34,2,0)</f>
        <v>D2A730</v>
      </c>
      <c r="I32" t="s">
        <v>119</v>
      </c>
      <c r="J32" t="s">
        <v>120</v>
      </c>
      <c r="K32" s="19" t="s">
        <v>85</v>
      </c>
      <c r="L32" s="19" t="s">
        <v>86</v>
      </c>
      <c r="M32" s="19" t="s">
        <v>87</v>
      </c>
      <c r="N32" s="19" t="s">
        <v>121</v>
      </c>
      <c r="O32" s="19" t="s">
        <v>89</v>
      </c>
      <c r="P32" s="19" t="s">
        <v>90</v>
      </c>
      <c r="Q32" s="19" t="s">
        <v>91</v>
      </c>
      <c r="R32" s="55">
        <v>765600</v>
      </c>
      <c r="S32" s="55">
        <v>0</v>
      </c>
      <c r="T32" s="55">
        <v>0</v>
      </c>
      <c r="U32" s="55">
        <v>765600</v>
      </c>
      <c r="V32" s="19" t="s">
        <v>92</v>
      </c>
      <c r="X32" s="70"/>
    </row>
    <row r="33" spans="2:24" x14ac:dyDescent="0.3">
      <c r="B33" s="19" t="s">
        <v>80</v>
      </c>
      <c r="C33" s="19" t="s">
        <v>81</v>
      </c>
      <c r="D33" s="54">
        <v>14608303</v>
      </c>
      <c r="E33" t="s">
        <v>109</v>
      </c>
      <c r="F33" s="20" t="str">
        <f>VLOOKUP(E33,영문국문명!$D$2:$F$252,2,0)</f>
        <v>고재홍</v>
      </c>
      <c r="G33" s="20" t="str">
        <f>VLOOKUP(E33,영문국문명!$D$2:$F$252,3,0)</f>
        <v>DDI개발담당_임원</v>
      </c>
      <c r="H33" s="40" t="str">
        <f>VLOOKUP(G33,CC정리!$B$5:$C$34,2,0)</f>
        <v>D2A701</v>
      </c>
      <c r="I33" t="s">
        <v>119</v>
      </c>
      <c r="J33" t="s">
        <v>120</v>
      </c>
      <c r="K33" s="19" t="s">
        <v>85</v>
      </c>
      <c r="L33" s="19" t="s">
        <v>86</v>
      </c>
      <c r="M33" s="19" t="s">
        <v>87</v>
      </c>
      <c r="N33" s="19" t="s">
        <v>121</v>
      </c>
      <c r="O33" s="19" t="s">
        <v>89</v>
      </c>
      <c r="P33" s="19" t="s">
        <v>90</v>
      </c>
      <c r="Q33" s="19" t="s">
        <v>91</v>
      </c>
      <c r="R33" s="55">
        <v>765600</v>
      </c>
      <c r="S33" s="55">
        <v>0</v>
      </c>
      <c r="T33" s="55">
        <v>0</v>
      </c>
      <c r="U33" s="55">
        <v>765600</v>
      </c>
      <c r="V33" s="19" t="s">
        <v>92</v>
      </c>
      <c r="X33" s="70"/>
    </row>
    <row r="34" spans="2:24" x14ac:dyDescent="0.3">
      <c r="B34" s="19" t="s">
        <v>80</v>
      </c>
      <c r="C34" s="19" t="s">
        <v>81</v>
      </c>
      <c r="D34" s="54">
        <v>14609303</v>
      </c>
      <c r="E34" t="s">
        <v>118</v>
      </c>
      <c r="F34" s="20" t="str">
        <f>VLOOKUP(E34,영문국문명!$D$2:$F$252,2,0)</f>
        <v>황대욱</v>
      </c>
      <c r="G34" s="20" t="str">
        <f>VLOOKUP(E34,영문국문명!$D$2:$F$252,3,0)</f>
        <v>DDI마케팅파트</v>
      </c>
      <c r="H34" s="40" t="str">
        <f>VLOOKUP(G34,CC정리!$B$5:$C$34,2,0)</f>
        <v>B2D330</v>
      </c>
      <c r="I34" t="s">
        <v>119</v>
      </c>
      <c r="J34" t="s">
        <v>120</v>
      </c>
      <c r="K34" s="19" t="s">
        <v>85</v>
      </c>
      <c r="L34" s="19" t="s">
        <v>86</v>
      </c>
      <c r="M34" s="19" t="s">
        <v>87</v>
      </c>
      <c r="N34" s="19" t="s">
        <v>121</v>
      </c>
      <c r="O34" s="19" t="s">
        <v>89</v>
      </c>
      <c r="P34" s="19" t="s">
        <v>90</v>
      </c>
      <c r="Q34" s="19" t="s">
        <v>91</v>
      </c>
      <c r="R34" s="55">
        <v>765600</v>
      </c>
      <c r="S34" s="55">
        <v>0</v>
      </c>
      <c r="T34" s="55">
        <v>0</v>
      </c>
      <c r="U34" s="55">
        <v>765600</v>
      </c>
      <c r="V34" s="19" t="s">
        <v>92</v>
      </c>
      <c r="X34" s="70"/>
    </row>
    <row r="35" spans="2:24" x14ac:dyDescent="0.3">
      <c r="B35" s="19" t="s">
        <v>80</v>
      </c>
      <c r="C35" s="19" t="s">
        <v>81</v>
      </c>
      <c r="D35" s="54">
        <v>15609303</v>
      </c>
      <c r="E35" t="s">
        <v>109</v>
      </c>
      <c r="F35" s="20" t="str">
        <f>VLOOKUP(E35,영문국문명!$D$2:$F$252,2,0)</f>
        <v>고재홍</v>
      </c>
      <c r="G35" s="20" t="str">
        <f>VLOOKUP(E35,영문국문명!$D$2:$F$252,3,0)</f>
        <v>DDI개발담당_임원</v>
      </c>
      <c r="H35" s="40" t="str">
        <f>VLOOKUP(G35,CC정리!$B$5:$C$34,2,0)</f>
        <v>D2A701</v>
      </c>
      <c r="I35" t="s">
        <v>119</v>
      </c>
      <c r="J35" t="s">
        <v>120</v>
      </c>
      <c r="K35" s="19" t="s">
        <v>85</v>
      </c>
      <c r="L35" s="19" t="s">
        <v>86</v>
      </c>
      <c r="M35" s="19" t="s">
        <v>87</v>
      </c>
      <c r="N35" s="19" t="s">
        <v>121</v>
      </c>
      <c r="O35" s="19" t="s">
        <v>93</v>
      </c>
      <c r="P35" s="19" t="s">
        <v>94</v>
      </c>
      <c r="Q35" s="19" t="s">
        <v>91</v>
      </c>
      <c r="R35" s="55">
        <v>29920</v>
      </c>
      <c r="S35" s="55">
        <v>0</v>
      </c>
      <c r="T35" s="55">
        <v>0</v>
      </c>
      <c r="U35" s="55">
        <v>29920</v>
      </c>
      <c r="V35" s="19" t="s">
        <v>92</v>
      </c>
      <c r="X35" s="70"/>
    </row>
    <row r="36" spans="2:24" x14ac:dyDescent="0.3">
      <c r="B36" s="19" t="s">
        <v>80</v>
      </c>
      <c r="C36" s="19" t="s">
        <v>81</v>
      </c>
      <c r="D36" s="54">
        <v>16608303</v>
      </c>
      <c r="E36" t="s">
        <v>124</v>
      </c>
      <c r="F36" s="20" t="str">
        <f>VLOOKUP(E36,영문국문명!$D$2:$F$252,2,0)</f>
        <v>최상신</v>
      </c>
      <c r="G36" s="20" t="str">
        <f>VLOOKUP(E36,영문국문명!$D$2:$F$252,3,0)</f>
        <v>Logic개발팀</v>
      </c>
      <c r="H36" s="40" t="str">
        <f>VLOOKUP(G36,CC정리!$B$5:$C$34,2,0)</f>
        <v>D2A730</v>
      </c>
      <c r="I36" t="s">
        <v>119</v>
      </c>
      <c r="J36" t="s">
        <v>120</v>
      </c>
      <c r="K36" s="19" t="s">
        <v>85</v>
      </c>
      <c r="L36" s="19" t="s">
        <v>86</v>
      </c>
      <c r="M36" s="19" t="s">
        <v>87</v>
      </c>
      <c r="N36" s="19" t="s">
        <v>121</v>
      </c>
      <c r="O36" s="19" t="s">
        <v>89</v>
      </c>
      <c r="P36" s="19" t="s">
        <v>90</v>
      </c>
      <c r="Q36" s="19" t="s">
        <v>91</v>
      </c>
      <c r="R36" s="55">
        <v>765600</v>
      </c>
      <c r="S36" s="55">
        <v>0</v>
      </c>
      <c r="T36" s="55">
        <v>0</v>
      </c>
      <c r="U36" s="55">
        <v>765600</v>
      </c>
      <c r="V36" s="19" t="s">
        <v>92</v>
      </c>
      <c r="X36" s="70"/>
    </row>
    <row r="37" spans="2:24" x14ac:dyDescent="0.3">
      <c r="B37" s="19" t="s">
        <v>80</v>
      </c>
      <c r="C37" s="19" t="s">
        <v>81</v>
      </c>
      <c r="D37" s="54">
        <v>16609303</v>
      </c>
      <c r="E37" t="s">
        <v>124</v>
      </c>
      <c r="F37" s="20" t="str">
        <f>VLOOKUP(E37,영문국문명!$D$2:$F$252,2,0)</f>
        <v>최상신</v>
      </c>
      <c r="G37" s="20" t="str">
        <f>VLOOKUP(E37,영문국문명!$D$2:$F$252,3,0)</f>
        <v>Logic개발팀</v>
      </c>
      <c r="H37" s="40" t="str">
        <f>VLOOKUP(G37,CC정리!$B$5:$C$34,2,0)</f>
        <v>D2A730</v>
      </c>
      <c r="I37" t="s">
        <v>119</v>
      </c>
      <c r="J37" t="s">
        <v>120</v>
      </c>
      <c r="K37" s="19" t="s">
        <v>85</v>
      </c>
      <c r="L37" s="19" t="s">
        <v>86</v>
      </c>
      <c r="M37" s="19" t="s">
        <v>87</v>
      </c>
      <c r="N37" s="19" t="s">
        <v>121</v>
      </c>
      <c r="O37" s="19" t="s">
        <v>93</v>
      </c>
      <c r="P37" s="19" t="s">
        <v>94</v>
      </c>
      <c r="Q37" s="19" t="s">
        <v>91</v>
      </c>
      <c r="R37" s="55">
        <v>29920</v>
      </c>
      <c r="S37" s="55">
        <v>0</v>
      </c>
      <c r="T37" s="55">
        <v>0</v>
      </c>
      <c r="U37" s="55">
        <v>29920</v>
      </c>
      <c r="V37" s="19" t="s">
        <v>92</v>
      </c>
      <c r="X37" s="70"/>
    </row>
    <row r="38" spans="2:24" x14ac:dyDescent="0.3">
      <c r="B38" s="19" t="s">
        <v>80</v>
      </c>
      <c r="C38" s="19" t="s">
        <v>81</v>
      </c>
      <c r="D38" s="54">
        <v>17609303</v>
      </c>
      <c r="E38" t="s">
        <v>125</v>
      </c>
      <c r="F38" s="20" t="e">
        <f>VLOOKUP(E38,영문국문명!$D$2:$F$252,2,0)</f>
        <v>#N/A</v>
      </c>
      <c r="G38" s="20" t="e">
        <f>VLOOKUP(E38,영문국문명!$D$2:$F$252,3,0)</f>
        <v>#N/A</v>
      </c>
      <c r="H38" s="40" t="e">
        <f>VLOOKUP(G38,CC정리!$B$5:$C$34,2,0)</f>
        <v>#N/A</v>
      </c>
      <c r="I38" t="s">
        <v>119</v>
      </c>
      <c r="J38" t="s">
        <v>120</v>
      </c>
      <c r="K38" s="19" t="s">
        <v>85</v>
      </c>
      <c r="L38" s="19" t="s">
        <v>86</v>
      </c>
      <c r="M38" s="19" t="s">
        <v>87</v>
      </c>
      <c r="N38" s="19" t="s">
        <v>121</v>
      </c>
      <c r="O38" s="19" t="s">
        <v>93</v>
      </c>
      <c r="P38" s="19" t="s">
        <v>94</v>
      </c>
      <c r="Q38" s="19" t="s">
        <v>91</v>
      </c>
      <c r="R38" s="55">
        <v>29920</v>
      </c>
      <c r="S38" s="55">
        <v>0</v>
      </c>
      <c r="T38" s="55">
        <v>0</v>
      </c>
      <c r="U38" s="55">
        <v>29920</v>
      </c>
      <c r="V38" s="19" t="s">
        <v>92</v>
      </c>
      <c r="X38" s="70"/>
    </row>
    <row r="39" spans="2:24" x14ac:dyDescent="0.3">
      <c r="B39" s="19" t="s">
        <v>80</v>
      </c>
      <c r="C39" s="19" t="s">
        <v>81</v>
      </c>
      <c r="D39" s="54">
        <v>18608303</v>
      </c>
      <c r="E39" t="s">
        <v>125</v>
      </c>
      <c r="F39" s="20" t="e">
        <f>VLOOKUP(E39,영문국문명!$D$2:$F$252,2,0)</f>
        <v>#N/A</v>
      </c>
      <c r="G39" s="20" t="e">
        <f>VLOOKUP(E39,영문국문명!$D$2:$F$252,3,0)</f>
        <v>#N/A</v>
      </c>
      <c r="H39" s="40" t="e">
        <f>VLOOKUP(G39,CC정리!$B$5:$C$34,2,0)</f>
        <v>#N/A</v>
      </c>
      <c r="I39" t="s">
        <v>119</v>
      </c>
      <c r="J39" t="s">
        <v>120</v>
      </c>
      <c r="K39" s="19" t="s">
        <v>85</v>
      </c>
      <c r="L39" s="19" t="s">
        <v>86</v>
      </c>
      <c r="M39" s="19" t="s">
        <v>87</v>
      </c>
      <c r="N39" s="19" t="s">
        <v>121</v>
      </c>
      <c r="O39" s="19" t="s">
        <v>89</v>
      </c>
      <c r="P39" s="19" t="s">
        <v>90</v>
      </c>
      <c r="Q39" s="19" t="s">
        <v>91</v>
      </c>
      <c r="R39" s="55">
        <v>765600</v>
      </c>
      <c r="S39" s="55">
        <v>0</v>
      </c>
      <c r="T39" s="55">
        <v>0</v>
      </c>
      <c r="U39" s="55">
        <v>765600</v>
      </c>
      <c r="V39" s="19" t="s">
        <v>92</v>
      </c>
      <c r="X39" s="70"/>
    </row>
    <row r="40" spans="2:24" x14ac:dyDescent="0.3">
      <c r="B40" s="19" t="s">
        <v>80</v>
      </c>
      <c r="C40" s="19" t="s">
        <v>81</v>
      </c>
      <c r="D40" s="54">
        <v>18609303</v>
      </c>
      <c r="E40" t="s">
        <v>122</v>
      </c>
      <c r="F40" s="20" t="e">
        <f>VLOOKUP(E40,영문국문명!$D$2:$F$252,2,0)</f>
        <v>#N/A</v>
      </c>
      <c r="G40" s="20" t="e">
        <f>VLOOKUP(E40,영문국문명!$D$2:$F$252,3,0)</f>
        <v>#N/A</v>
      </c>
      <c r="H40" s="40" t="e">
        <f>VLOOKUP(G40,CC정리!$B$5:$C$34,2,0)</f>
        <v>#N/A</v>
      </c>
      <c r="I40" t="s">
        <v>119</v>
      </c>
      <c r="J40" t="s">
        <v>120</v>
      </c>
      <c r="K40" s="19" t="s">
        <v>85</v>
      </c>
      <c r="L40" s="19" t="s">
        <v>86</v>
      </c>
      <c r="M40" s="19" t="s">
        <v>87</v>
      </c>
      <c r="N40" s="19" t="s">
        <v>121</v>
      </c>
      <c r="O40" s="19" t="s">
        <v>93</v>
      </c>
      <c r="P40" s="19" t="s">
        <v>94</v>
      </c>
      <c r="Q40" s="19" t="s">
        <v>91</v>
      </c>
      <c r="R40" s="55">
        <v>29920</v>
      </c>
      <c r="S40" s="55">
        <v>0</v>
      </c>
      <c r="T40" s="55">
        <v>0</v>
      </c>
      <c r="U40" s="55">
        <v>29920</v>
      </c>
      <c r="V40" s="19" t="s">
        <v>92</v>
      </c>
      <c r="X40" s="70"/>
    </row>
    <row r="41" spans="2:24" x14ac:dyDescent="0.3">
      <c r="B41" s="19" t="s">
        <v>80</v>
      </c>
      <c r="C41" s="19" t="s">
        <v>81</v>
      </c>
      <c r="D41" s="54">
        <v>19609303</v>
      </c>
      <c r="E41" t="s">
        <v>123</v>
      </c>
      <c r="F41" s="20" t="str">
        <f>VLOOKUP(E41,영문국문명!$D$2:$F$252,2,0)</f>
        <v>변승찬</v>
      </c>
      <c r="G41" s="20" t="str">
        <f>VLOOKUP(E41,영문국문명!$D$2:$F$252,3,0)</f>
        <v>Digital IP파트</v>
      </c>
      <c r="H41" s="40" t="str">
        <f>VLOOKUP(G41,CC정리!$B$5:$C$34,2,0)</f>
        <v>D2A730</v>
      </c>
      <c r="I41" t="s">
        <v>119</v>
      </c>
      <c r="J41" t="s">
        <v>120</v>
      </c>
      <c r="K41" s="19" t="s">
        <v>85</v>
      </c>
      <c r="L41" s="19" t="s">
        <v>86</v>
      </c>
      <c r="M41" s="19" t="s">
        <v>87</v>
      </c>
      <c r="N41" s="19" t="s">
        <v>121</v>
      </c>
      <c r="O41" s="19" t="s">
        <v>93</v>
      </c>
      <c r="P41" s="19" t="s">
        <v>94</v>
      </c>
      <c r="Q41" s="19" t="s">
        <v>91</v>
      </c>
      <c r="R41" s="55">
        <v>29920</v>
      </c>
      <c r="S41" s="55">
        <v>0</v>
      </c>
      <c r="T41" s="55">
        <v>0</v>
      </c>
      <c r="U41" s="55">
        <v>29920</v>
      </c>
      <c r="V41" s="19" t="s">
        <v>92</v>
      </c>
      <c r="X41" s="70"/>
    </row>
    <row r="42" spans="2:24" x14ac:dyDescent="0.3">
      <c r="B42" s="19" t="s">
        <v>80</v>
      </c>
      <c r="C42" s="19" t="s">
        <v>81</v>
      </c>
      <c r="D42" s="54">
        <v>10608203</v>
      </c>
      <c r="E42" t="s">
        <v>105</v>
      </c>
      <c r="F42" s="20" t="e">
        <f>VLOOKUP(E42,영문국문명!$D$2:$F$252,2,0)</f>
        <v>#N/A</v>
      </c>
      <c r="G42" s="20" t="e">
        <f>VLOOKUP(E42,영문국문명!$D$2:$F$252,3,0)</f>
        <v>#N/A</v>
      </c>
      <c r="H42" s="40" t="e">
        <f>VLOOKUP(G42,CC정리!$B$5:$C$34,2,0)</f>
        <v>#N/A</v>
      </c>
      <c r="I42" t="s">
        <v>126</v>
      </c>
      <c r="J42" t="s">
        <v>103</v>
      </c>
      <c r="K42" s="19" t="s">
        <v>85</v>
      </c>
      <c r="L42" s="19" t="s">
        <v>86</v>
      </c>
      <c r="M42" s="19" t="s">
        <v>87</v>
      </c>
      <c r="N42" s="19" t="s">
        <v>127</v>
      </c>
      <c r="O42" s="19" t="s">
        <v>93</v>
      </c>
      <c r="P42" s="19" t="s">
        <v>94</v>
      </c>
      <c r="Q42" s="19" t="s">
        <v>91</v>
      </c>
      <c r="R42" s="55">
        <v>28248</v>
      </c>
      <c r="S42" s="55">
        <v>0</v>
      </c>
      <c r="T42" s="55">
        <v>0</v>
      </c>
      <c r="U42" s="55">
        <v>28248</v>
      </c>
      <c r="V42" s="19" t="s">
        <v>92</v>
      </c>
      <c r="X42" s="70"/>
    </row>
    <row r="43" spans="2:24" x14ac:dyDescent="0.3">
      <c r="B43" s="19" t="s">
        <v>80</v>
      </c>
      <c r="C43" s="19" t="s">
        <v>81</v>
      </c>
      <c r="D43" s="54">
        <v>11608203</v>
      </c>
      <c r="E43" t="s">
        <v>101</v>
      </c>
      <c r="F43" s="20" t="e">
        <f>VLOOKUP(E43,영문국문명!$D$2:$F$252,2,0)</f>
        <v>#N/A</v>
      </c>
      <c r="G43" s="20" t="e">
        <f>VLOOKUP(E43,영문국문명!$D$2:$F$252,3,0)</f>
        <v>#N/A</v>
      </c>
      <c r="H43" s="40" t="e">
        <f>VLOOKUP(G43,CC정리!$B$5:$C$34,2,0)</f>
        <v>#N/A</v>
      </c>
      <c r="I43" t="s">
        <v>126</v>
      </c>
      <c r="J43" t="s">
        <v>103</v>
      </c>
      <c r="K43" s="19" t="s">
        <v>85</v>
      </c>
      <c r="L43" s="19" t="s">
        <v>86</v>
      </c>
      <c r="M43" s="19" t="s">
        <v>87</v>
      </c>
      <c r="N43" s="19" t="s">
        <v>127</v>
      </c>
      <c r="O43" s="19" t="s">
        <v>104</v>
      </c>
      <c r="P43" s="19" t="s">
        <v>94</v>
      </c>
      <c r="Q43" s="19" t="s">
        <v>91</v>
      </c>
      <c r="R43" s="55">
        <v>711200</v>
      </c>
      <c r="S43" s="55">
        <v>0</v>
      </c>
      <c r="T43" s="55">
        <v>0</v>
      </c>
      <c r="U43" s="55">
        <v>711200</v>
      </c>
      <c r="V43" s="19" t="s">
        <v>92</v>
      </c>
      <c r="X43" s="70"/>
    </row>
    <row r="44" spans="2:24" x14ac:dyDescent="0.3">
      <c r="B44" s="19" t="s">
        <v>80</v>
      </c>
      <c r="C44" s="19" t="s">
        <v>81</v>
      </c>
      <c r="D44" s="54">
        <v>12608203</v>
      </c>
      <c r="E44" t="s">
        <v>105</v>
      </c>
      <c r="F44" s="20" t="e">
        <f>VLOOKUP(E44,영문국문명!$D$2:$F$252,2,0)</f>
        <v>#N/A</v>
      </c>
      <c r="G44" s="20" t="e">
        <f>VLOOKUP(E44,영문국문명!$D$2:$F$252,3,0)</f>
        <v>#N/A</v>
      </c>
      <c r="H44" s="40" t="e">
        <f>VLOOKUP(G44,CC정리!$B$5:$C$34,2,0)</f>
        <v>#N/A</v>
      </c>
      <c r="I44" t="s">
        <v>126</v>
      </c>
      <c r="J44" t="s">
        <v>103</v>
      </c>
      <c r="K44" s="19" t="s">
        <v>85</v>
      </c>
      <c r="L44" s="19" t="s">
        <v>86</v>
      </c>
      <c r="M44" s="19" t="s">
        <v>87</v>
      </c>
      <c r="N44" s="19" t="s">
        <v>127</v>
      </c>
      <c r="O44" s="19" t="s">
        <v>104</v>
      </c>
      <c r="P44" s="19" t="s">
        <v>94</v>
      </c>
      <c r="Q44" s="19" t="s">
        <v>91</v>
      </c>
      <c r="R44" s="55">
        <v>711200</v>
      </c>
      <c r="S44" s="55">
        <v>0</v>
      </c>
      <c r="T44" s="55">
        <v>0</v>
      </c>
      <c r="U44" s="55">
        <v>711200</v>
      </c>
      <c r="V44" s="19" t="s">
        <v>92</v>
      </c>
      <c r="X44" s="70"/>
    </row>
    <row r="45" spans="2:24" x14ac:dyDescent="0.3">
      <c r="B45" s="19" t="s">
        <v>80</v>
      </c>
      <c r="C45" s="19" t="s">
        <v>81</v>
      </c>
      <c r="D45" s="54">
        <v>15607203</v>
      </c>
      <c r="E45" t="s">
        <v>101</v>
      </c>
      <c r="F45" s="20" t="e">
        <f>VLOOKUP(E45,영문국문명!$D$2:$F$252,2,0)</f>
        <v>#N/A</v>
      </c>
      <c r="G45" s="20" t="e">
        <f>VLOOKUP(E45,영문국문명!$D$2:$F$252,3,0)</f>
        <v>#N/A</v>
      </c>
      <c r="H45" s="40" t="e">
        <f>VLOOKUP(G45,CC정리!$B$5:$C$34,2,0)</f>
        <v>#N/A</v>
      </c>
      <c r="I45" s="39" t="s">
        <v>128</v>
      </c>
      <c r="J45" s="39" t="s">
        <v>129</v>
      </c>
      <c r="K45" s="19" t="s">
        <v>85</v>
      </c>
      <c r="L45" s="19" t="s">
        <v>86</v>
      </c>
      <c r="M45" s="19" t="s">
        <v>87</v>
      </c>
      <c r="N45" s="19" t="s">
        <v>127</v>
      </c>
      <c r="O45" s="19" t="s">
        <v>130</v>
      </c>
      <c r="P45" s="19" t="s">
        <v>131</v>
      </c>
      <c r="Q45" s="19" t="s">
        <v>91</v>
      </c>
      <c r="R45" s="55">
        <v>451700</v>
      </c>
      <c r="S45" s="55">
        <v>0</v>
      </c>
      <c r="T45" s="55">
        <v>0</v>
      </c>
      <c r="U45" s="55">
        <v>451700</v>
      </c>
      <c r="V45" s="19" t="s">
        <v>92</v>
      </c>
      <c r="X45" s="70"/>
    </row>
    <row r="46" spans="2:24" x14ac:dyDescent="0.3">
      <c r="B46" s="19" t="s">
        <v>80</v>
      </c>
      <c r="C46" s="19" t="s">
        <v>81</v>
      </c>
      <c r="D46" s="54">
        <v>16607203</v>
      </c>
      <c r="E46" t="s">
        <v>101</v>
      </c>
      <c r="F46" s="20" t="e">
        <f>VLOOKUP(E46,영문국문명!$D$2:$F$252,2,0)</f>
        <v>#N/A</v>
      </c>
      <c r="G46" s="20" t="e">
        <f>VLOOKUP(E46,영문국문명!$D$2:$F$252,3,0)</f>
        <v>#N/A</v>
      </c>
      <c r="H46" s="40" t="e">
        <f>VLOOKUP(G46,CC정리!$B$5:$C$34,2,0)</f>
        <v>#N/A</v>
      </c>
      <c r="I46" s="39" t="s">
        <v>128</v>
      </c>
      <c r="J46" s="39" t="s">
        <v>129</v>
      </c>
      <c r="K46" s="19" t="s">
        <v>85</v>
      </c>
      <c r="L46" s="19" t="s">
        <v>86</v>
      </c>
      <c r="M46" s="19" t="s">
        <v>87</v>
      </c>
      <c r="N46" s="19" t="s">
        <v>127</v>
      </c>
      <c r="O46" s="19" t="s">
        <v>93</v>
      </c>
      <c r="P46" s="19" t="s">
        <v>94</v>
      </c>
      <c r="Q46" s="19" t="s">
        <v>91</v>
      </c>
      <c r="R46" s="55">
        <v>17600</v>
      </c>
      <c r="S46" s="55">
        <v>0</v>
      </c>
      <c r="T46" s="55">
        <v>0</v>
      </c>
      <c r="U46" s="55">
        <v>17600</v>
      </c>
      <c r="V46" s="19" t="s">
        <v>92</v>
      </c>
      <c r="X46" s="70"/>
    </row>
    <row r="47" spans="2:24" x14ac:dyDescent="0.3">
      <c r="B47" s="19" t="s">
        <v>80</v>
      </c>
      <c r="C47" s="19" t="s">
        <v>81</v>
      </c>
      <c r="D47" s="54">
        <v>17607203</v>
      </c>
      <c r="E47" t="s">
        <v>105</v>
      </c>
      <c r="F47" s="20" t="e">
        <f>VLOOKUP(E47,영문국문명!$D$2:$F$252,2,0)</f>
        <v>#N/A</v>
      </c>
      <c r="G47" s="20" t="e">
        <f>VLOOKUP(E47,영문국문명!$D$2:$F$252,3,0)</f>
        <v>#N/A</v>
      </c>
      <c r="H47" s="40" t="e">
        <f>VLOOKUP(G47,CC정리!$B$5:$C$34,2,0)</f>
        <v>#N/A</v>
      </c>
      <c r="I47" s="39" t="s">
        <v>128</v>
      </c>
      <c r="J47" s="39" t="s">
        <v>129</v>
      </c>
      <c r="K47" s="19" t="s">
        <v>85</v>
      </c>
      <c r="L47" s="19" t="s">
        <v>86</v>
      </c>
      <c r="M47" s="19" t="s">
        <v>87</v>
      </c>
      <c r="N47" s="19" t="s">
        <v>127</v>
      </c>
      <c r="O47" s="19" t="s">
        <v>130</v>
      </c>
      <c r="P47" s="19" t="s">
        <v>131</v>
      </c>
      <c r="Q47" s="19" t="s">
        <v>91</v>
      </c>
      <c r="R47" s="55">
        <v>451700</v>
      </c>
      <c r="S47" s="55">
        <v>0</v>
      </c>
      <c r="T47" s="55">
        <v>0</v>
      </c>
      <c r="U47" s="55">
        <v>451700</v>
      </c>
      <c r="V47" s="19" t="s">
        <v>92</v>
      </c>
      <c r="X47" s="70"/>
    </row>
    <row r="48" spans="2:24" x14ac:dyDescent="0.3">
      <c r="B48" s="19" t="s">
        <v>80</v>
      </c>
      <c r="C48" s="19" t="s">
        <v>81</v>
      </c>
      <c r="D48" s="54">
        <v>18607203</v>
      </c>
      <c r="E48" t="s">
        <v>105</v>
      </c>
      <c r="F48" s="20" t="e">
        <f>VLOOKUP(E48,영문국문명!$D$2:$F$252,2,0)</f>
        <v>#N/A</v>
      </c>
      <c r="G48" s="20" t="e">
        <f>VLOOKUP(E48,영문국문명!$D$2:$F$252,3,0)</f>
        <v>#N/A</v>
      </c>
      <c r="H48" s="40" t="e">
        <f>VLOOKUP(G48,CC정리!$B$5:$C$34,2,0)</f>
        <v>#N/A</v>
      </c>
      <c r="I48" s="39" t="s">
        <v>128</v>
      </c>
      <c r="J48" s="39" t="s">
        <v>129</v>
      </c>
      <c r="K48" s="19" t="s">
        <v>85</v>
      </c>
      <c r="L48" s="19" t="s">
        <v>86</v>
      </c>
      <c r="M48" s="19" t="s">
        <v>87</v>
      </c>
      <c r="N48" s="19" t="s">
        <v>127</v>
      </c>
      <c r="O48" s="19" t="s">
        <v>93</v>
      </c>
      <c r="P48" s="19" t="s">
        <v>94</v>
      </c>
      <c r="Q48" s="19" t="s">
        <v>91</v>
      </c>
      <c r="R48" s="55">
        <v>17600</v>
      </c>
      <c r="S48" s="55">
        <v>0</v>
      </c>
      <c r="T48" s="55">
        <v>0</v>
      </c>
      <c r="U48" s="55">
        <v>17600</v>
      </c>
      <c r="V48" s="19" t="s">
        <v>92</v>
      </c>
      <c r="X48" s="70"/>
    </row>
    <row r="49" spans="2:24" x14ac:dyDescent="0.3">
      <c r="B49" s="19" t="s">
        <v>80</v>
      </c>
      <c r="C49" s="19" t="s">
        <v>81</v>
      </c>
      <c r="D49" s="54">
        <v>19607203</v>
      </c>
      <c r="E49" t="s">
        <v>101</v>
      </c>
      <c r="F49" s="20" t="e">
        <f>VLOOKUP(E49,영문국문명!$D$2:$F$252,2,0)</f>
        <v>#N/A</v>
      </c>
      <c r="G49" s="20" t="e">
        <f>VLOOKUP(E49,영문국문명!$D$2:$F$252,3,0)</f>
        <v>#N/A</v>
      </c>
      <c r="H49" s="40" t="e">
        <f>VLOOKUP(G49,CC정리!$B$5:$C$34,2,0)</f>
        <v>#N/A</v>
      </c>
      <c r="I49" t="s">
        <v>126</v>
      </c>
      <c r="J49" t="s">
        <v>103</v>
      </c>
      <c r="K49" s="19" t="s">
        <v>85</v>
      </c>
      <c r="L49" s="19" t="s">
        <v>86</v>
      </c>
      <c r="M49" s="19" t="s">
        <v>87</v>
      </c>
      <c r="N49" s="19" t="s">
        <v>127</v>
      </c>
      <c r="O49" s="19" t="s">
        <v>93</v>
      </c>
      <c r="P49" s="19" t="s">
        <v>94</v>
      </c>
      <c r="Q49" s="19" t="s">
        <v>91</v>
      </c>
      <c r="R49" s="55">
        <v>28248</v>
      </c>
      <c r="S49" s="55">
        <v>0</v>
      </c>
      <c r="T49" s="55">
        <v>0</v>
      </c>
      <c r="U49" s="55">
        <v>28248</v>
      </c>
      <c r="V49" s="19" t="s">
        <v>92</v>
      </c>
      <c r="X49" s="70"/>
    </row>
    <row r="50" spans="2:24" x14ac:dyDescent="0.3">
      <c r="B50" s="19" t="s">
        <v>80</v>
      </c>
      <c r="C50" s="19" t="s">
        <v>81</v>
      </c>
      <c r="D50" s="54">
        <v>2607603</v>
      </c>
      <c r="E50" t="s">
        <v>132</v>
      </c>
      <c r="F50" s="20" t="str">
        <f>VLOOKUP(E50,영문국문명!$D$2:$F$252,2,0)</f>
        <v>정겨운</v>
      </c>
      <c r="G50" s="20" t="str">
        <f>VLOOKUP(E50,영문국문명!$D$2:$F$252,3,0)</f>
        <v>영업팀</v>
      </c>
      <c r="H50" s="40" t="str">
        <f>VLOOKUP(G50,CC정리!$B$5:$C$34,2,0)</f>
        <v>B2D310</v>
      </c>
      <c r="I50" t="s">
        <v>133</v>
      </c>
      <c r="J50" t="s">
        <v>134</v>
      </c>
      <c r="K50" s="19" t="s">
        <v>85</v>
      </c>
      <c r="L50" s="19" t="s">
        <v>86</v>
      </c>
      <c r="M50" s="19" t="s">
        <v>87</v>
      </c>
      <c r="N50" s="19" t="s">
        <v>135</v>
      </c>
      <c r="O50" s="19" t="s">
        <v>136</v>
      </c>
      <c r="P50" s="19" t="s">
        <v>137</v>
      </c>
      <c r="Q50" s="19" t="s">
        <v>91</v>
      </c>
      <c r="R50" s="55">
        <v>24400</v>
      </c>
      <c r="S50" s="55">
        <v>0</v>
      </c>
      <c r="T50" s="55">
        <v>0</v>
      </c>
      <c r="U50" s="55">
        <v>24400</v>
      </c>
      <c r="V50" s="19" t="s">
        <v>92</v>
      </c>
      <c r="X50" s="70"/>
    </row>
    <row r="51" spans="2:24" x14ac:dyDescent="0.3">
      <c r="B51" s="19" t="s">
        <v>80</v>
      </c>
      <c r="C51" s="19" t="s">
        <v>81</v>
      </c>
      <c r="D51" s="54">
        <v>3607603</v>
      </c>
      <c r="E51" t="s">
        <v>138</v>
      </c>
      <c r="F51" s="20" t="str">
        <f>VLOOKUP(E51,영문국문명!$D$2:$F$252,2,0)</f>
        <v>김형호</v>
      </c>
      <c r="G51" s="20" t="str">
        <f>VLOOKUP(E51,영문국문명!$D$2:$F$252,3,0)</f>
        <v>영업팀</v>
      </c>
      <c r="H51" s="40" t="str">
        <f>VLOOKUP(G51,CC정리!$B$5:$C$34,2,0)</f>
        <v>B2D310</v>
      </c>
      <c r="I51" t="s">
        <v>139</v>
      </c>
      <c r="J51" t="s">
        <v>140</v>
      </c>
      <c r="K51" s="19" t="s">
        <v>85</v>
      </c>
      <c r="L51" s="19" t="s">
        <v>86</v>
      </c>
      <c r="M51" s="19" t="s">
        <v>87</v>
      </c>
      <c r="N51" s="19" t="s">
        <v>135</v>
      </c>
      <c r="O51" s="19" t="s">
        <v>141</v>
      </c>
      <c r="P51" s="19" t="s">
        <v>137</v>
      </c>
      <c r="Q51" s="19" t="s">
        <v>91</v>
      </c>
      <c r="R51" s="55">
        <v>655600</v>
      </c>
      <c r="S51" s="55">
        <v>0</v>
      </c>
      <c r="T51" s="55">
        <v>0</v>
      </c>
      <c r="U51" s="55">
        <v>655600</v>
      </c>
      <c r="V51" s="19" t="s">
        <v>92</v>
      </c>
      <c r="X51" s="70"/>
    </row>
    <row r="52" spans="2:24" x14ac:dyDescent="0.3">
      <c r="B52" s="19" t="s">
        <v>80</v>
      </c>
      <c r="C52" s="19" t="s">
        <v>81</v>
      </c>
      <c r="D52" s="54">
        <v>4607603</v>
      </c>
      <c r="E52" t="s">
        <v>138</v>
      </c>
      <c r="F52" s="20" t="str">
        <f>VLOOKUP(E52,영문국문명!$D$2:$F$252,2,0)</f>
        <v>김형호</v>
      </c>
      <c r="G52" s="20" t="str">
        <f>VLOOKUP(E52,영문국문명!$D$2:$F$252,3,0)</f>
        <v>영업팀</v>
      </c>
      <c r="H52" s="40" t="str">
        <f>VLOOKUP(G52,CC정리!$B$5:$C$34,2,0)</f>
        <v>B2D310</v>
      </c>
      <c r="I52" t="s">
        <v>139</v>
      </c>
      <c r="J52" t="s">
        <v>140</v>
      </c>
      <c r="K52" s="19" t="s">
        <v>85</v>
      </c>
      <c r="L52" s="19" t="s">
        <v>86</v>
      </c>
      <c r="M52" s="19" t="s">
        <v>87</v>
      </c>
      <c r="N52" s="19" t="s">
        <v>135</v>
      </c>
      <c r="O52" s="19" t="s">
        <v>93</v>
      </c>
      <c r="P52" s="19" t="s">
        <v>94</v>
      </c>
      <c r="Q52" s="19" t="s">
        <v>91</v>
      </c>
      <c r="R52" s="55">
        <v>24684</v>
      </c>
      <c r="S52" s="55">
        <v>0</v>
      </c>
      <c r="T52" s="55">
        <v>0</v>
      </c>
      <c r="U52" s="55">
        <v>24684</v>
      </c>
      <c r="V52" s="19" t="s">
        <v>92</v>
      </c>
      <c r="X52" s="70"/>
    </row>
    <row r="53" spans="2:24" x14ac:dyDescent="0.3">
      <c r="B53" s="19" t="s">
        <v>80</v>
      </c>
      <c r="C53" s="19" t="s">
        <v>81</v>
      </c>
      <c r="D53" s="54">
        <v>607503</v>
      </c>
      <c r="E53" t="s">
        <v>132</v>
      </c>
      <c r="F53" s="20" t="str">
        <f>VLOOKUP(E53,영문국문명!$D$2:$F$252,2,0)</f>
        <v>정겨운</v>
      </c>
      <c r="G53" s="20" t="str">
        <f>VLOOKUP(E53,영문국문명!$D$2:$F$252,3,0)</f>
        <v>영업팀</v>
      </c>
      <c r="H53" s="40" t="str">
        <f>VLOOKUP(G53,CC정리!$B$5:$C$34,2,0)</f>
        <v>B2D310</v>
      </c>
      <c r="I53" t="s">
        <v>142</v>
      </c>
      <c r="J53" t="s">
        <v>134</v>
      </c>
      <c r="K53" s="19" t="s">
        <v>85</v>
      </c>
      <c r="L53" s="19" t="s">
        <v>86</v>
      </c>
      <c r="M53" s="19" t="s">
        <v>87</v>
      </c>
      <c r="N53" s="19" t="s">
        <v>143</v>
      </c>
      <c r="O53" s="19" t="s">
        <v>136</v>
      </c>
      <c r="P53" s="19" t="s">
        <v>137</v>
      </c>
      <c r="Q53" s="19" t="s">
        <v>91</v>
      </c>
      <c r="R53" s="55">
        <v>496200</v>
      </c>
      <c r="S53" s="55">
        <v>0</v>
      </c>
      <c r="T53" s="55">
        <v>0</v>
      </c>
      <c r="U53" s="55">
        <v>496200</v>
      </c>
      <c r="V53" s="19" t="s">
        <v>92</v>
      </c>
      <c r="X53" s="70"/>
    </row>
    <row r="54" spans="2:24" x14ac:dyDescent="0.3">
      <c r="B54" s="19" t="s">
        <v>80</v>
      </c>
      <c r="C54" s="19" t="s">
        <v>81</v>
      </c>
      <c r="D54" s="54">
        <v>1607503</v>
      </c>
      <c r="E54" t="s">
        <v>132</v>
      </c>
      <c r="F54" s="20" t="str">
        <f>VLOOKUP(E54,영문국문명!$D$2:$F$252,2,0)</f>
        <v>정겨운</v>
      </c>
      <c r="G54" s="20" t="str">
        <f>VLOOKUP(E54,영문국문명!$D$2:$F$252,3,0)</f>
        <v>영업팀</v>
      </c>
      <c r="H54" s="40" t="str">
        <f>VLOOKUP(G54,CC정리!$B$5:$C$34,2,0)</f>
        <v>B2D310</v>
      </c>
      <c r="I54" t="s">
        <v>142</v>
      </c>
      <c r="J54" t="s">
        <v>134</v>
      </c>
      <c r="K54" s="19" t="s">
        <v>85</v>
      </c>
      <c r="L54" s="19" t="s">
        <v>86</v>
      </c>
      <c r="M54" s="19" t="s">
        <v>87</v>
      </c>
      <c r="N54" s="19" t="s">
        <v>143</v>
      </c>
      <c r="O54" s="19" t="s">
        <v>93</v>
      </c>
      <c r="P54" s="19" t="s">
        <v>94</v>
      </c>
      <c r="Q54" s="19" t="s">
        <v>91</v>
      </c>
      <c r="R54" s="55">
        <v>21164</v>
      </c>
      <c r="S54" s="55">
        <v>0</v>
      </c>
      <c r="T54" s="55">
        <v>0</v>
      </c>
      <c r="U54" s="55">
        <v>21164</v>
      </c>
      <c r="V54" s="19" t="s">
        <v>92</v>
      </c>
      <c r="X54" s="70"/>
    </row>
    <row r="55" spans="2:24" x14ac:dyDescent="0.3">
      <c r="B55" s="19" t="s">
        <v>80</v>
      </c>
      <c r="C55" s="19" t="s">
        <v>81</v>
      </c>
      <c r="D55" s="54">
        <v>8606303</v>
      </c>
      <c r="E55" t="s">
        <v>132</v>
      </c>
      <c r="F55" s="20" t="str">
        <f>VLOOKUP(E55,영문국문명!$D$2:$F$252,2,0)</f>
        <v>정겨운</v>
      </c>
      <c r="G55" s="20" t="str">
        <f>VLOOKUP(E55,영문국문명!$D$2:$F$252,3,0)</f>
        <v>영업팀</v>
      </c>
      <c r="H55" s="40" t="str">
        <f>VLOOKUP(G55,CC정리!$B$5:$C$34,2,0)</f>
        <v>B2D310</v>
      </c>
      <c r="I55" s="39" t="s">
        <v>139</v>
      </c>
      <c r="J55" s="39" t="s">
        <v>144</v>
      </c>
      <c r="K55" s="19" t="s">
        <v>85</v>
      </c>
      <c r="L55" s="19" t="s">
        <v>86</v>
      </c>
      <c r="M55" s="19" t="s">
        <v>87</v>
      </c>
      <c r="N55" s="19" t="s">
        <v>145</v>
      </c>
      <c r="O55" s="19" t="s">
        <v>89</v>
      </c>
      <c r="P55" s="19" t="s">
        <v>90</v>
      </c>
      <c r="Q55" s="19" t="s">
        <v>91</v>
      </c>
      <c r="R55" s="55">
        <v>964200</v>
      </c>
      <c r="S55" s="55">
        <v>0</v>
      </c>
      <c r="T55" s="55">
        <v>0</v>
      </c>
      <c r="U55" s="55">
        <v>964200</v>
      </c>
      <c r="V55" s="19" t="s">
        <v>92</v>
      </c>
      <c r="X55" s="70"/>
    </row>
    <row r="56" spans="2:24" x14ac:dyDescent="0.3">
      <c r="B56" s="19" t="s">
        <v>80</v>
      </c>
      <c r="C56" s="19" t="s">
        <v>81</v>
      </c>
      <c r="D56" s="54">
        <v>9606303</v>
      </c>
      <c r="E56" t="s">
        <v>132</v>
      </c>
      <c r="F56" s="20" t="str">
        <f>VLOOKUP(E56,영문국문명!$D$2:$F$252,2,0)</f>
        <v>정겨운</v>
      </c>
      <c r="G56" s="20" t="str">
        <f>VLOOKUP(E56,영문국문명!$D$2:$F$252,3,0)</f>
        <v>영업팀</v>
      </c>
      <c r="H56" s="40" t="str">
        <f>VLOOKUP(G56,CC정리!$B$5:$C$34,2,0)</f>
        <v>B2D310</v>
      </c>
      <c r="I56" s="39" t="s">
        <v>139</v>
      </c>
      <c r="J56" s="39" t="s">
        <v>144</v>
      </c>
      <c r="K56" s="19" t="s">
        <v>85</v>
      </c>
      <c r="L56" s="19" t="s">
        <v>86</v>
      </c>
      <c r="M56" s="19" t="s">
        <v>87</v>
      </c>
      <c r="N56" s="19" t="s">
        <v>145</v>
      </c>
      <c r="O56" s="19" t="s">
        <v>93</v>
      </c>
      <c r="P56" s="19" t="s">
        <v>94</v>
      </c>
      <c r="Q56" s="19" t="s">
        <v>91</v>
      </c>
      <c r="R56" s="55">
        <v>38451</v>
      </c>
      <c r="S56" s="55">
        <v>0</v>
      </c>
      <c r="T56" s="55">
        <v>0</v>
      </c>
      <c r="U56" s="55">
        <v>38451</v>
      </c>
      <c r="V56" s="19" t="s">
        <v>92</v>
      </c>
      <c r="X56" s="70"/>
    </row>
    <row r="57" spans="2:24" x14ac:dyDescent="0.3">
      <c r="B57" s="19" t="s">
        <v>80</v>
      </c>
      <c r="C57" s="19" t="s">
        <v>81</v>
      </c>
      <c r="D57" s="54">
        <v>1606203</v>
      </c>
      <c r="E57" t="s">
        <v>146</v>
      </c>
      <c r="F57" s="20" t="e">
        <f>VLOOKUP(E57,영문국문명!$D$2:$F$252,2,0)</f>
        <v>#N/A</v>
      </c>
      <c r="G57" s="20" t="e">
        <f>VLOOKUP(E57,영문국문명!$D$2:$F$252,3,0)</f>
        <v>#N/A</v>
      </c>
      <c r="H57" s="40" t="e">
        <f>VLOOKUP(G57,CC정리!$B$5:$C$34,2,0)</f>
        <v>#N/A</v>
      </c>
      <c r="I57" s="39" t="s">
        <v>116</v>
      </c>
      <c r="J57" s="39" t="s">
        <v>140</v>
      </c>
      <c r="K57" s="19" t="s">
        <v>85</v>
      </c>
      <c r="L57" s="19" t="s">
        <v>86</v>
      </c>
      <c r="M57" s="19" t="s">
        <v>87</v>
      </c>
      <c r="N57" s="19" t="s">
        <v>147</v>
      </c>
      <c r="O57" s="19" t="s">
        <v>141</v>
      </c>
      <c r="P57" s="19" t="s">
        <v>137</v>
      </c>
      <c r="Q57" s="19" t="s">
        <v>91</v>
      </c>
      <c r="R57" s="55">
        <v>541100</v>
      </c>
      <c r="S57" s="55">
        <v>0</v>
      </c>
      <c r="T57" s="55">
        <v>0</v>
      </c>
      <c r="U57" s="55">
        <v>541100</v>
      </c>
      <c r="V57" s="19" t="s">
        <v>92</v>
      </c>
      <c r="X57" s="70"/>
    </row>
    <row r="58" spans="2:24" x14ac:dyDescent="0.3">
      <c r="B58" s="19" t="s">
        <v>80</v>
      </c>
      <c r="C58" s="19" t="s">
        <v>81</v>
      </c>
      <c r="D58" s="54">
        <v>2606203</v>
      </c>
      <c r="E58" t="s">
        <v>146</v>
      </c>
      <c r="F58" s="20" t="e">
        <f>VLOOKUP(E58,영문국문명!$D$2:$F$252,2,0)</f>
        <v>#N/A</v>
      </c>
      <c r="G58" s="20" t="e">
        <f>VLOOKUP(E58,영문국문명!$D$2:$F$252,3,0)</f>
        <v>#N/A</v>
      </c>
      <c r="H58" s="40" t="e">
        <f>VLOOKUP(G58,CC정리!$B$5:$C$34,2,0)</f>
        <v>#N/A</v>
      </c>
      <c r="I58" s="39" t="s">
        <v>116</v>
      </c>
      <c r="J58" s="39" t="s">
        <v>140</v>
      </c>
      <c r="K58" s="19" t="s">
        <v>85</v>
      </c>
      <c r="L58" s="19" t="s">
        <v>86</v>
      </c>
      <c r="M58" s="19" t="s">
        <v>87</v>
      </c>
      <c r="N58" s="19" t="s">
        <v>147</v>
      </c>
      <c r="O58" s="19" t="s">
        <v>93</v>
      </c>
      <c r="P58" s="19" t="s">
        <v>94</v>
      </c>
      <c r="Q58" s="19" t="s">
        <v>91</v>
      </c>
      <c r="R58" s="55">
        <v>19668</v>
      </c>
      <c r="S58" s="55">
        <v>0</v>
      </c>
      <c r="T58" s="55">
        <v>0</v>
      </c>
      <c r="U58" s="55">
        <v>19668</v>
      </c>
      <c r="V58" s="19" t="s">
        <v>92</v>
      </c>
      <c r="X58" s="70"/>
    </row>
    <row r="59" spans="2:24" x14ac:dyDescent="0.3">
      <c r="B59" s="19" t="s">
        <v>80</v>
      </c>
      <c r="C59" s="19" t="s">
        <v>81</v>
      </c>
      <c r="D59" s="54">
        <v>3606203</v>
      </c>
      <c r="E59" t="s">
        <v>148</v>
      </c>
      <c r="F59" s="20" t="e">
        <f>VLOOKUP(E59,영문국문명!$D$2:$F$252,2,0)</f>
        <v>#N/A</v>
      </c>
      <c r="G59" s="20" t="e">
        <f>VLOOKUP(E59,영문국문명!$D$2:$F$252,3,0)</f>
        <v>#N/A</v>
      </c>
      <c r="H59" s="40" t="e">
        <f>VLOOKUP(G59,CC정리!$B$5:$C$34,2,0)</f>
        <v>#N/A</v>
      </c>
      <c r="I59" s="39" t="s">
        <v>116</v>
      </c>
      <c r="J59" s="39" t="s">
        <v>140</v>
      </c>
      <c r="K59" s="19" t="s">
        <v>85</v>
      </c>
      <c r="L59" s="19" t="s">
        <v>86</v>
      </c>
      <c r="M59" s="19" t="s">
        <v>87</v>
      </c>
      <c r="N59" s="19" t="s">
        <v>147</v>
      </c>
      <c r="O59" s="19" t="s">
        <v>141</v>
      </c>
      <c r="P59" s="19" t="s">
        <v>137</v>
      </c>
      <c r="Q59" s="19" t="s">
        <v>91</v>
      </c>
      <c r="R59" s="55">
        <v>541100</v>
      </c>
      <c r="S59" s="55">
        <v>0</v>
      </c>
      <c r="T59" s="55">
        <v>0</v>
      </c>
      <c r="U59" s="55">
        <v>541100</v>
      </c>
      <c r="V59" s="19" t="s">
        <v>92</v>
      </c>
      <c r="X59" s="70"/>
    </row>
    <row r="60" spans="2:24" x14ac:dyDescent="0.3">
      <c r="B60" s="19" t="s">
        <v>80</v>
      </c>
      <c r="C60" s="19" t="s">
        <v>81</v>
      </c>
      <c r="D60" s="54">
        <v>4606203</v>
      </c>
      <c r="E60" t="s">
        <v>148</v>
      </c>
      <c r="F60" s="20" t="e">
        <f>VLOOKUP(E60,영문국문명!$D$2:$F$252,2,0)</f>
        <v>#N/A</v>
      </c>
      <c r="G60" s="20" t="e">
        <f>VLOOKUP(E60,영문국문명!$D$2:$F$252,3,0)</f>
        <v>#N/A</v>
      </c>
      <c r="H60" s="40" t="e">
        <f>VLOOKUP(G60,CC정리!$B$5:$C$34,2,0)</f>
        <v>#N/A</v>
      </c>
      <c r="I60" s="39" t="s">
        <v>116</v>
      </c>
      <c r="J60" s="39" t="s">
        <v>140</v>
      </c>
      <c r="K60" s="19" t="s">
        <v>85</v>
      </c>
      <c r="L60" s="19" t="s">
        <v>86</v>
      </c>
      <c r="M60" s="19" t="s">
        <v>87</v>
      </c>
      <c r="N60" s="19" t="s">
        <v>147</v>
      </c>
      <c r="O60" s="19" t="s">
        <v>93</v>
      </c>
      <c r="P60" s="19" t="s">
        <v>94</v>
      </c>
      <c r="Q60" s="19" t="s">
        <v>91</v>
      </c>
      <c r="R60" s="55">
        <v>19668</v>
      </c>
      <c r="S60" s="55">
        <v>0</v>
      </c>
      <c r="T60" s="55">
        <v>0</v>
      </c>
      <c r="U60" s="55">
        <v>19668</v>
      </c>
      <c r="V60" s="19" t="s">
        <v>92</v>
      </c>
      <c r="X60" s="70"/>
    </row>
    <row r="61" spans="2:24" x14ac:dyDescent="0.3">
      <c r="B61" s="19" t="s">
        <v>80</v>
      </c>
      <c r="C61" s="19" t="s">
        <v>81</v>
      </c>
      <c r="D61" s="54">
        <v>5606203</v>
      </c>
      <c r="E61" t="s">
        <v>149</v>
      </c>
      <c r="F61" s="20" t="str">
        <f>VLOOKUP(E61,영문국문명!$D$2:$F$252,2,0)</f>
        <v>이준민</v>
      </c>
      <c r="G61" s="20" t="str">
        <f>VLOOKUP(E61,영문국문명!$D$2:$F$252,3,0)</f>
        <v>Analog1파트</v>
      </c>
      <c r="H61" s="40" t="str">
        <f>VLOOKUP(G61,CC정리!$B$5:$C$34,2,0)</f>
        <v>D2A830</v>
      </c>
      <c r="I61" s="39" t="s">
        <v>116</v>
      </c>
      <c r="J61" s="39" t="s">
        <v>140</v>
      </c>
      <c r="K61" s="19" t="s">
        <v>85</v>
      </c>
      <c r="L61" s="19" t="s">
        <v>86</v>
      </c>
      <c r="M61" s="19" t="s">
        <v>87</v>
      </c>
      <c r="N61" s="19" t="s">
        <v>147</v>
      </c>
      <c r="O61" s="19" t="s">
        <v>141</v>
      </c>
      <c r="P61" s="19" t="s">
        <v>137</v>
      </c>
      <c r="Q61" s="19" t="s">
        <v>91</v>
      </c>
      <c r="R61" s="55">
        <v>541100</v>
      </c>
      <c r="S61" s="55">
        <v>0</v>
      </c>
      <c r="T61" s="55">
        <v>0</v>
      </c>
      <c r="U61" s="55">
        <v>541100</v>
      </c>
      <c r="V61" s="19" t="s">
        <v>92</v>
      </c>
      <c r="X61" s="70"/>
    </row>
    <row r="62" spans="2:24" x14ac:dyDescent="0.3">
      <c r="B62" s="19" t="s">
        <v>80</v>
      </c>
      <c r="C62" s="19" t="s">
        <v>81</v>
      </c>
      <c r="D62" s="54">
        <v>6606203</v>
      </c>
      <c r="E62" t="s">
        <v>149</v>
      </c>
      <c r="F62" s="20" t="str">
        <f>VLOOKUP(E62,영문국문명!$D$2:$F$252,2,0)</f>
        <v>이준민</v>
      </c>
      <c r="G62" s="20" t="str">
        <f>VLOOKUP(E62,영문국문명!$D$2:$F$252,3,0)</f>
        <v>Analog1파트</v>
      </c>
      <c r="H62" s="40" t="str">
        <f>VLOOKUP(G62,CC정리!$B$5:$C$34,2,0)</f>
        <v>D2A830</v>
      </c>
      <c r="I62" s="39" t="s">
        <v>116</v>
      </c>
      <c r="J62" s="39" t="s">
        <v>140</v>
      </c>
      <c r="K62" s="19" t="s">
        <v>85</v>
      </c>
      <c r="L62" s="19" t="s">
        <v>86</v>
      </c>
      <c r="M62" s="19" t="s">
        <v>87</v>
      </c>
      <c r="N62" s="19" t="s">
        <v>147</v>
      </c>
      <c r="O62" s="19" t="s">
        <v>93</v>
      </c>
      <c r="P62" s="19" t="s">
        <v>94</v>
      </c>
      <c r="Q62" s="19" t="s">
        <v>91</v>
      </c>
      <c r="R62" s="55">
        <v>19668</v>
      </c>
      <c r="S62" s="55">
        <v>0</v>
      </c>
      <c r="T62" s="55">
        <v>0</v>
      </c>
      <c r="U62" s="55">
        <v>19668</v>
      </c>
      <c r="V62" s="19" t="s">
        <v>92</v>
      </c>
      <c r="X62" s="70"/>
    </row>
    <row r="63" spans="2:24" x14ac:dyDescent="0.3">
      <c r="U63" s="56">
        <f>SUM(U3:U62)</f>
        <v>25858214</v>
      </c>
    </row>
  </sheetData>
  <autoFilter ref="A1:X2" xr:uid="{00000000-0009-0000-0000-000002000000}">
    <filterColumn colId="1" showButton="0"/>
  </autoFilter>
  <mergeCells count="24">
    <mergeCell ref="A1:A2"/>
    <mergeCell ref="X3:X62"/>
    <mergeCell ref="D1:D2"/>
    <mergeCell ref="R1:R2"/>
    <mergeCell ref="F1:F2"/>
    <mergeCell ref="H1:H2"/>
    <mergeCell ref="J1:J2"/>
    <mergeCell ref="P1:P2"/>
    <mergeCell ref="W1:W2"/>
    <mergeCell ref="L1:L2"/>
    <mergeCell ref="N1:N2"/>
    <mergeCell ref="T1:T2"/>
    <mergeCell ref="X1:X2"/>
    <mergeCell ref="S1:S2"/>
    <mergeCell ref="U1:U2"/>
    <mergeCell ref="B1:C2"/>
    <mergeCell ref="V1:V2"/>
    <mergeCell ref="K1:K2"/>
    <mergeCell ref="E1:E2"/>
    <mergeCell ref="M1:M2"/>
    <mergeCell ref="O1:O2"/>
    <mergeCell ref="Q1:Q2"/>
    <mergeCell ref="G1:G2"/>
    <mergeCell ref="I1:I2"/>
  </mergeCells>
  <phoneticPr fontId="1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9"/>
  <sheetViews>
    <sheetView zoomScale="70" zoomScaleNormal="70" workbookViewId="0">
      <pane ySplit="1" topLeftCell="A2" activePane="bottomLeft" state="frozen"/>
      <selection activeCell="F40" sqref="F40"/>
      <selection pane="bottomLeft" activeCell="AC20" sqref="AC20"/>
    </sheetView>
  </sheetViews>
  <sheetFormatPr defaultColWidth="8.625" defaultRowHeight="16.5" x14ac:dyDescent="0.3"/>
  <cols>
    <col min="1" max="1" width="5.25" style="22" bestFit="1" customWidth="1"/>
    <col min="2" max="2" width="7.125" style="22" hidden="1" customWidth="1"/>
    <col min="3" max="3" width="11.625" style="22" hidden="1" customWidth="1"/>
    <col min="4" max="4" width="9.25" style="22" hidden="1" customWidth="1"/>
    <col min="5" max="6" width="5.25" style="22" hidden="1" customWidth="1"/>
    <col min="7" max="7" width="9.5" style="22" bestFit="1" customWidth="1"/>
    <col min="8" max="8" width="0" style="22" hidden="1"/>
    <col min="9" max="9" width="7.625" style="22" hidden="1" customWidth="1"/>
    <col min="10" max="10" width="20" style="22" hidden="1" customWidth="1"/>
    <col min="11" max="11" width="7.125" style="22" bestFit="1" customWidth="1"/>
    <col min="12" max="12" width="19.125" style="22" bestFit="1" customWidth="1"/>
    <col min="13" max="13" width="0" style="22" hidden="1"/>
    <col min="14" max="14" width="11.125" style="22" hidden="1" customWidth="1"/>
    <col min="15" max="16" width="0" style="22" hidden="1"/>
    <col min="17" max="18" width="5.25" style="22" hidden="1" customWidth="1"/>
    <col min="19" max="19" width="9.5" style="22" bestFit="1" customWidth="1"/>
    <col min="20" max="20" width="17.75" style="22" bestFit="1" customWidth="1"/>
    <col min="21" max="21" width="40.5" style="22" hidden="1" customWidth="1"/>
    <col min="22" max="22" width="10.5" style="22" hidden="1" customWidth="1"/>
    <col min="23" max="23" width="11.625" style="22" hidden="1" customWidth="1"/>
    <col min="24" max="24" width="9.625" style="22" hidden="1" customWidth="1"/>
    <col min="25" max="25" width="11.625" style="22" hidden="1" customWidth="1"/>
    <col min="26" max="26" width="9.625" style="22" hidden="1" customWidth="1"/>
    <col min="27" max="27" width="17.25" style="22" hidden="1" customWidth="1"/>
    <col min="28" max="28" width="18.625" style="22" hidden="1" customWidth="1"/>
    <col min="29" max="29" width="10.125" style="22" bestFit="1" customWidth="1"/>
    <col min="30" max="30" width="12.5" style="22" bestFit="1" customWidth="1"/>
    <col min="31" max="31" width="8.5" style="22" bestFit="1" customWidth="1"/>
    <col min="32" max="32" width="9.125" style="22" bestFit="1" customWidth="1"/>
    <col min="33" max="33" width="7.875" style="22" bestFit="1" customWidth="1"/>
    <col min="34" max="34" width="12" style="22" bestFit="1" customWidth="1"/>
    <col min="35" max="35" width="9.625" style="22" bestFit="1" customWidth="1"/>
    <col min="36" max="36" width="15.875" style="22" bestFit="1" customWidth="1"/>
    <col min="37" max="37" width="13.625" style="22" bestFit="1" customWidth="1"/>
    <col min="38" max="38" width="9.625" style="22" bestFit="1" customWidth="1"/>
    <col min="39" max="39" width="12.125" style="22" bestFit="1" customWidth="1"/>
    <col min="40" max="40" width="11.5" style="22" hidden="1" customWidth="1"/>
    <col min="41" max="41" width="10.5" style="22" hidden="1" customWidth="1"/>
    <col min="42" max="42" width="11.125" style="22" bestFit="1" customWidth="1"/>
    <col min="43" max="44" width="8.625" style="22" customWidth="1"/>
    <col min="45" max="45" width="13.625" style="22" bestFit="1" customWidth="1"/>
    <col min="46" max="46" width="15.125" style="22" bestFit="1" customWidth="1"/>
    <col min="47" max="47" width="11" style="22" bestFit="1" customWidth="1"/>
    <col min="48" max="48" width="13" style="22" bestFit="1" customWidth="1"/>
    <col min="49" max="49" width="12.75" style="22" bestFit="1" customWidth="1"/>
    <col min="50" max="50" width="7.125" style="22" bestFit="1" customWidth="1"/>
    <col min="51" max="51" width="13.375" style="22" bestFit="1" customWidth="1"/>
    <col min="52" max="52" width="10.375" style="22" bestFit="1" customWidth="1"/>
    <col min="53" max="53" width="8.625" style="22" customWidth="1"/>
    <col min="54" max="16384" width="8.625" style="22"/>
  </cols>
  <sheetData>
    <row r="1" spans="1:52" s="24" customFormat="1" x14ac:dyDescent="0.3">
      <c r="A1" s="37" t="s">
        <v>150</v>
      </c>
      <c r="B1" s="38" t="s">
        <v>137</v>
      </c>
      <c r="C1" s="38" t="s">
        <v>151</v>
      </c>
      <c r="D1" s="38" t="s">
        <v>152</v>
      </c>
      <c r="E1" s="38" t="s">
        <v>153</v>
      </c>
      <c r="F1" s="38" t="s">
        <v>154</v>
      </c>
      <c r="G1" s="38" t="s">
        <v>155</v>
      </c>
      <c r="H1" s="38" t="s">
        <v>156</v>
      </c>
      <c r="I1" s="38" t="s">
        <v>157</v>
      </c>
      <c r="J1" s="38" t="s">
        <v>158</v>
      </c>
      <c r="K1" s="38" t="s">
        <v>159</v>
      </c>
      <c r="L1" s="38" t="s">
        <v>160</v>
      </c>
      <c r="M1" s="38" t="s">
        <v>161</v>
      </c>
      <c r="N1" s="38" t="s">
        <v>162</v>
      </c>
      <c r="O1" s="38" t="s">
        <v>163</v>
      </c>
      <c r="P1" s="38" t="s">
        <v>164</v>
      </c>
      <c r="Q1" s="38" t="s">
        <v>165</v>
      </c>
      <c r="R1" s="38" t="s">
        <v>166</v>
      </c>
      <c r="S1" s="38" t="s">
        <v>167</v>
      </c>
      <c r="T1" s="38" t="s">
        <v>168</v>
      </c>
      <c r="U1" s="38" t="s">
        <v>169</v>
      </c>
      <c r="V1" s="38" t="s">
        <v>170</v>
      </c>
      <c r="W1" s="38" t="s">
        <v>171</v>
      </c>
      <c r="X1" s="38" t="s">
        <v>172</v>
      </c>
      <c r="Y1" s="38" t="s">
        <v>173</v>
      </c>
      <c r="Z1" s="38" t="s">
        <v>174</v>
      </c>
      <c r="AA1" s="38" t="s">
        <v>175</v>
      </c>
      <c r="AB1" s="38" t="s">
        <v>68</v>
      </c>
      <c r="AC1" s="38" t="s">
        <v>60</v>
      </c>
      <c r="AD1" s="37" t="s">
        <v>176</v>
      </c>
      <c r="AE1" s="37" t="s">
        <v>177</v>
      </c>
      <c r="AF1" s="37" t="s">
        <v>178</v>
      </c>
      <c r="AG1" s="37" t="s">
        <v>179</v>
      </c>
      <c r="AH1" s="37" t="s">
        <v>180</v>
      </c>
      <c r="AI1" s="37" t="s">
        <v>181</v>
      </c>
      <c r="AJ1" s="37" t="s">
        <v>182</v>
      </c>
      <c r="AK1" s="37" t="s">
        <v>183</v>
      </c>
      <c r="AL1" s="37" t="s">
        <v>184</v>
      </c>
      <c r="AM1" s="37" t="s">
        <v>185</v>
      </c>
      <c r="AN1" s="37" t="s">
        <v>186</v>
      </c>
      <c r="AO1" s="37" t="s">
        <v>187</v>
      </c>
      <c r="AP1" s="38" t="s">
        <v>188</v>
      </c>
      <c r="AQ1" s="38" t="s">
        <v>189</v>
      </c>
      <c r="AR1" s="37" t="s">
        <v>190</v>
      </c>
      <c r="AS1" s="37" t="s">
        <v>191</v>
      </c>
      <c r="AT1" s="37" t="s">
        <v>192</v>
      </c>
      <c r="AU1" s="37" t="s">
        <v>193</v>
      </c>
      <c r="AV1" s="38" t="s">
        <v>194</v>
      </c>
      <c r="AW1" s="38" t="s">
        <v>195</v>
      </c>
      <c r="AX1" s="37" t="s">
        <v>74</v>
      </c>
      <c r="AY1" s="38" t="s">
        <v>196</v>
      </c>
      <c r="AZ1" s="38" t="s">
        <v>197</v>
      </c>
    </row>
    <row r="2" spans="1:52" s="43" customFormat="1" x14ac:dyDescent="0.3">
      <c r="A2" s="41">
        <v>6</v>
      </c>
      <c r="B2" s="39" t="s">
        <v>198</v>
      </c>
      <c r="C2" s="39" t="s">
        <v>199</v>
      </c>
      <c r="D2" s="39" t="s">
        <v>200</v>
      </c>
      <c r="E2" s="39" t="s">
        <v>201</v>
      </c>
      <c r="F2" s="39" t="s">
        <v>202</v>
      </c>
      <c r="G2" s="39" t="s">
        <v>203</v>
      </c>
      <c r="H2" s="39" t="s">
        <v>204</v>
      </c>
      <c r="I2" s="39" t="s">
        <v>205</v>
      </c>
      <c r="J2" s="39" t="s">
        <v>206</v>
      </c>
      <c r="K2" s="41"/>
      <c r="L2" s="39" t="s">
        <v>146</v>
      </c>
      <c r="M2" s="41"/>
      <c r="N2" s="39" t="s">
        <v>207</v>
      </c>
      <c r="O2" s="39" t="s">
        <v>208</v>
      </c>
      <c r="P2" s="39" t="s">
        <v>209</v>
      </c>
      <c r="Q2" s="41"/>
      <c r="R2" s="41"/>
      <c r="S2" s="39" t="s">
        <v>116</v>
      </c>
      <c r="T2" s="39" t="s">
        <v>140</v>
      </c>
      <c r="U2" s="39" t="s">
        <v>210</v>
      </c>
      <c r="V2" s="39" t="s">
        <v>211</v>
      </c>
      <c r="W2" s="39" t="s">
        <v>212</v>
      </c>
      <c r="X2" s="39" t="s">
        <v>213</v>
      </c>
      <c r="Y2" s="39" t="s">
        <v>212</v>
      </c>
      <c r="Z2" s="39" t="s">
        <v>214</v>
      </c>
      <c r="AA2" s="39" t="s">
        <v>215</v>
      </c>
      <c r="AB2" s="39" t="s">
        <v>216</v>
      </c>
      <c r="AC2" s="39" t="s">
        <v>217</v>
      </c>
      <c r="AD2" s="42">
        <v>447000</v>
      </c>
      <c r="AE2" s="42">
        <v>94100</v>
      </c>
      <c r="AF2" s="42">
        <v>50600</v>
      </c>
      <c r="AG2" s="41">
        <v>0</v>
      </c>
      <c r="AH2" s="42">
        <v>541100</v>
      </c>
      <c r="AI2" s="42">
        <v>541100</v>
      </c>
      <c r="AJ2" s="41">
        <v>0</v>
      </c>
      <c r="AK2" s="42">
        <v>541100</v>
      </c>
      <c r="AL2" s="42">
        <v>13410</v>
      </c>
      <c r="AM2" s="41">
        <v>0</v>
      </c>
      <c r="AN2" s="41">
        <v>0</v>
      </c>
      <c r="AO2" s="41">
        <v>0</v>
      </c>
      <c r="AP2" s="39" t="s">
        <v>207</v>
      </c>
      <c r="AQ2" s="41"/>
      <c r="AR2" s="41">
        <v>4</v>
      </c>
      <c r="AS2" s="41">
        <v>0</v>
      </c>
      <c r="AT2" s="55">
        <v>19668</v>
      </c>
      <c r="AU2" s="55">
        <v>17880</v>
      </c>
      <c r="AV2" s="39" t="s">
        <v>218</v>
      </c>
      <c r="AW2" s="39" t="s">
        <v>219</v>
      </c>
      <c r="AX2" s="42">
        <v>1788</v>
      </c>
      <c r="AY2" s="39" t="s">
        <v>200</v>
      </c>
      <c r="AZ2" s="39" t="s">
        <v>220</v>
      </c>
    </row>
    <row r="3" spans="1:52" s="43" customFormat="1" x14ac:dyDescent="0.3">
      <c r="A3" s="41">
        <v>7</v>
      </c>
      <c r="B3" s="39" t="s">
        <v>198</v>
      </c>
      <c r="C3" s="39" t="s">
        <v>221</v>
      </c>
      <c r="D3" s="39" t="s">
        <v>200</v>
      </c>
      <c r="E3" s="39" t="s">
        <v>201</v>
      </c>
      <c r="F3" s="39" t="s">
        <v>202</v>
      </c>
      <c r="G3" s="39" t="s">
        <v>203</v>
      </c>
      <c r="H3" s="39" t="s">
        <v>204</v>
      </c>
      <c r="I3" s="39" t="s">
        <v>205</v>
      </c>
      <c r="J3" s="39" t="s">
        <v>206</v>
      </c>
      <c r="K3" s="41"/>
      <c r="L3" s="39" t="s">
        <v>148</v>
      </c>
      <c r="M3" s="41"/>
      <c r="N3" s="39" t="s">
        <v>207</v>
      </c>
      <c r="O3" s="39" t="s">
        <v>208</v>
      </c>
      <c r="P3" s="39" t="s">
        <v>209</v>
      </c>
      <c r="Q3" s="41"/>
      <c r="R3" s="41"/>
      <c r="S3" s="39" t="s">
        <v>116</v>
      </c>
      <c r="T3" s="39" t="s">
        <v>140</v>
      </c>
      <c r="U3" s="39" t="s">
        <v>210</v>
      </c>
      <c r="V3" s="39" t="s">
        <v>211</v>
      </c>
      <c r="W3" s="39" t="s">
        <v>212</v>
      </c>
      <c r="X3" s="39" t="s">
        <v>213</v>
      </c>
      <c r="Y3" s="39" t="s">
        <v>212</v>
      </c>
      <c r="Z3" s="39" t="s">
        <v>214</v>
      </c>
      <c r="AA3" s="39" t="s">
        <v>215</v>
      </c>
      <c r="AB3" s="39" t="s">
        <v>216</v>
      </c>
      <c r="AC3" s="39" t="s">
        <v>222</v>
      </c>
      <c r="AD3" s="42">
        <v>447000</v>
      </c>
      <c r="AE3" s="42">
        <v>94100</v>
      </c>
      <c r="AF3" s="42">
        <v>50600</v>
      </c>
      <c r="AG3" s="41">
        <v>0</v>
      </c>
      <c r="AH3" s="42">
        <v>541100</v>
      </c>
      <c r="AI3" s="42">
        <v>541100</v>
      </c>
      <c r="AJ3" s="41">
        <v>0</v>
      </c>
      <c r="AK3" s="42">
        <v>541100</v>
      </c>
      <c r="AL3" s="42">
        <v>13410</v>
      </c>
      <c r="AM3" s="41">
        <v>0</v>
      </c>
      <c r="AN3" s="41">
        <v>0</v>
      </c>
      <c r="AO3" s="41">
        <v>0</v>
      </c>
      <c r="AP3" s="39" t="s">
        <v>207</v>
      </c>
      <c r="AQ3" s="41"/>
      <c r="AR3" s="41">
        <v>4</v>
      </c>
      <c r="AS3" s="41">
        <v>0</v>
      </c>
      <c r="AT3" s="55">
        <v>19668</v>
      </c>
      <c r="AU3" s="55">
        <v>17880</v>
      </c>
      <c r="AV3" s="39" t="s">
        <v>223</v>
      </c>
      <c r="AW3" s="39" t="s">
        <v>219</v>
      </c>
      <c r="AX3" s="42">
        <v>1788</v>
      </c>
      <c r="AY3" s="39" t="s">
        <v>200</v>
      </c>
      <c r="AZ3" s="39" t="s">
        <v>220</v>
      </c>
    </row>
    <row r="4" spans="1:52" s="43" customFormat="1" x14ac:dyDescent="0.3">
      <c r="A4" s="41">
        <v>8</v>
      </c>
      <c r="B4" s="39" t="s">
        <v>198</v>
      </c>
      <c r="C4" s="39" t="s">
        <v>224</v>
      </c>
      <c r="D4" s="39" t="s">
        <v>200</v>
      </c>
      <c r="E4" s="39" t="s">
        <v>201</v>
      </c>
      <c r="F4" s="39" t="s">
        <v>202</v>
      </c>
      <c r="G4" s="39" t="s">
        <v>203</v>
      </c>
      <c r="H4" s="39" t="s">
        <v>204</v>
      </c>
      <c r="I4" s="39" t="s">
        <v>205</v>
      </c>
      <c r="J4" s="39" t="s">
        <v>206</v>
      </c>
      <c r="K4" s="41"/>
      <c r="L4" s="39" t="s">
        <v>149</v>
      </c>
      <c r="M4" s="41"/>
      <c r="N4" s="39" t="s">
        <v>207</v>
      </c>
      <c r="O4" s="39" t="s">
        <v>208</v>
      </c>
      <c r="P4" s="39" t="s">
        <v>209</v>
      </c>
      <c r="Q4" s="41"/>
      <c r="R4" s="41"/>
      <c r="S4" s="39" t="s">
        <v>116</v>
      </c>
      <c r="T4" s="39" t="s">
        <v>140</v>
      </c>
      <c r="U4" s="39" t="s">
        <v>210</v>
      </c>
      <c r="V4" s="39" t="s">
        <v>211</v>
      </c>
      <c r="W4" s="39" t="s">
        <v>212</v>
      </c>
      <c r="X4" s="39" t="s">
        <v>213</v>
      </c>
      <c r="Y4" s="39" t="s">
        <v>212</v>
      </c>
      <c r="Z4" s="39" t="s">
        <v>214</v>
      </c>
      <c r="AA4" s="39" t="s">
        <v>215</v>
      </c>
      <c r="AB4" s="39" t="s">
        <v>216</v>
      </c>
      <c r="AC4" s="39" t="s">
        <v>225</v>
      </c>
      <c r="AD4" s="42">
        <v>447000</v>
      </c>
      <c r="AE4" s="42">
        <v>94100</v>
      </c>
      <c r="AF4" s="42">
        <v>50600</v>
      </c>
      <c r="AG4" s="41">
        <v>0</v>
      </c>
      <c r="AH4" s="42">
        <v>541100</v>
      </c>
      <c r="AI4" s="42">
        <v>541100</v>
      </c>
      <c r="AJ4" s="41">
        <v>0</v>
      </c>
      <c r="AK4" s="42">
        <v>541100</v>
      </c>
      <c r="AL4" s="42">
        <v>13410</v>
      </c>
      <c r="AM4" s="41">
        <v>0</v>
      </c>
      <c r="AN4" s="41">
        <v>0</v>
      </c>
      <c r="AO4" s="41">
        <v>0</v>
      </c>
      <c r="AP4" s="39" t="s">
        <v>207</v>
      </c>
      <c r="AQ4" s="41"/>
      <c r="AR4" s="41">
        <v>4</v>
      </c>
      <c r="AS4" s="41">
        <v>0</v>
      </c>
      <c r="AT4" s="55">
        <v>19668</v>
      </c>
      <c r="AU4" s="55">
        <v>17880</v>
      </c>
      <c r="AV4" s="39" t="s">
        <v>226</v>
      </c>
      <c r="AW4" s="39" t="s">
        <v>219</v>
      </c>
      <c r="AX4" s="42">
        <v>1788</v>
      </c>
      <c r="AY4" s="39" t="s">
        <v>200</v>
      </c>
      <c r="AZ4" s="39" t="s">
        <v>220</v>
      </c>
    </row>
    <row r="5" spans="1:52" s="43" customFormat="1" x14ac:dyDescent="0.3">
      <c r="A5" s="41">
        <v>9</v>
      </c>
      <c r="B5" s="39" t="s">
        <v>227</v>
      </c>
      <c r="C5" s="39" t="s">
        <v>228</v>
      </c>
      <c r="D5" s="39" t="s">
        <v>200</v>
      </c>
      <c r="E5" s="39" t="s">
        <v>201</v>
      </c>
      <c r="F5" s="39" t="s">
        <v>202</v>
      </c>
      <c r="G5" s="39" t="s">
        <v>229</v>
      </c>
      <c r="H5" s="39" t="s">
        <v>230</v>
      </c>
      <c r="I5" s="39" t="s">
        <v>205</v>
      </c>
      <c r="J5" s="39" t="s">
        <v>206</v>
      </c>
      <c r="K5" s="39" t="s">
        <v>231</v>
      </c>
      <c r="L5" s="39" t="s">
        <v>132</v>
      </c>
      <c r="M5" s="41"/>
      <c r="N5" s="39" t="s">
        <v>232</v>
      </c>
      <c r="O5" s="39" t="s">
        <v>208</v>
      </c>
      <c r="P5" s="39" t="s">
        <v>209</v>
      </c>
      <c r="Q5" s="41"/>
      <c r="R5" s="41"/>
      <c r="S5" s="39" t="s">
        <v>139</v>
      </c>
      <c r="T5" s="39" t="s">
        <v>144</v>
      </c>
      <c r="U5" s="39" t="s">
        <v>233</v>
      </c>
      <c r="V5" s="39" t="s">
        <v>211</v>
      </c>
      <c r="W5" s="39" t="s">
        <v>212</v>
      </c>
      <c r="X5" s="39" t="s">
        <v>213</v>
      </c>
      <c r="Y5" s="39" t="s">
        <v>212</v>
      </c>
      <c r="Z5" s="39" t="s">
        <v>234</v>
      </c>
      <c r="AA5" s="39" t="s">
        <v>235</v>
      </c>
      <c r="AB5" s="39" t="s">
        <v>216</v>
      </c>
      <c r="AC5" s="39" t="s">
        <v>236</v>
      </c>
      <c r="AD5" s="42">
        <v>873900</v>
      </c>
      <c r="AE5" s="42">
        <v>90300</v>
      </c>
      <c r="AF5" s="42">
        <v>46500</v>
      </c>
      <c r="AG5" s="41">
        <v>0</v>
      </c>
      <c r="AH5" s="42">
        <v>964200</v>
      </c>
      <c r="AI5" s="42">
        <v>964200</v>
      </c>
      <c r="AJ5" s="41">
        <v>0</v>
      </c>
      <c r="AK5" s="42">
        <v>964200</v>
      </c>
      <c r="AL5" s="41">
        <v>0</v>
      </c>
      <c r="AM5" s="41">
        <v>0</v>
      </c>
      <c r="AN5" s="41">
        <v>0</v>
      </c>
      <c r="AO5" s="41">
        <v>0</v>
      </c>
      <c r="AP5" s="39" t="s">
        <v>207</v>
      </c>
      <c r="AQ5" s="41"/>
      <c r="AR5" s="41">
        <v>4</v>
      </c>
      <c r="AS5" s="41">
        <v>0</v>
      </c>
      <c r="AT5" s="55">
        <v>38451</v>
      </c>
      <c r="AU5" s="55">
        <v>34960</v>
      </c>
      <c r="AV5" s="39" t="s">
        <v>237</v>
      </c>
      <c r="AW5" s="39" t="s">
        <v>238</v>
      </c>
      <c r="AX5" s="42">
        <v>3491</v>
      </c>
      <c r="AY5" s="39" t="s">
        <v>200</v>
      </c>
      <c r="AZ5" s="39" t="s">
        <v>220</v>
      </c>
    </row>
    <row r="6" spans="1:52" s="43" customFormat="1" x14ac:dyDescent="0.3">
      <c r="A6" s="41">
        <v>12</v>
      </c>
      <c r="B6" s="39" t="s">
        <v>239</v>
      </c>
      <c r="C6" s="39" t="s">
        <v>240</v>
      </c>
      <c r="D6" s="39" t="s">
        <v>200</v>
      </c>
      <c r="E6" s="39" t="s">
        <v>201</v>
      </c>
      <c r="F6" s="39" t="s">
        <v>202</v>
      </c>
      <c r="G6" s="39" t="s">
        <v>241</v>
      </c>
      <c r="H6" s="39" t="s">
        <v>242</v>
      </c>
      <c r="I6" s="39" t="s">
        <v>205</v>
      </c>
      <c r="J6" s="39" t="s">
        <v>206</v>
      </c>
      <c r="K6" s="39" t="s">
        <v>231</v>
      </c>
      <c r="L6" s="39" t="s">
        <v>132</v>
      </c>
      <c r="M6" s="41"/>
      <c r="N6" s="39" t="s">
        <v>232</v>
      </c>
      <c r="O6" s="39" t="s">
        <v>208</v>
      </c>
      <c r="P6" s="39" t="s">
        <v>209</v>
      </c>
      <c r="Q6" s="41"/>
      <c r="R6" s="41"/>
      <c r="S6" s="39" t="s">
        <v>142</v>
      </c>
      <c r="T6" s="39" t="s">
        <v>134</v>
      </c>
      <c r="U6" s="39" t="s">
        <v>243</v>
      </c>
      <c r="V6" s="39" t="s">
        <v>211</v>
      </c>
      <c r="W6" s="39" t="s">
        <v>212</v>
      </c>
      <c r="X6" s="39" t="s">
        <v>213</v>
      </c>
      <c r="Y6" s="39" t="s">
        <v>212</v>
      </c>
      <c r="Z6" s="39" t="s">
        <v>234</v>
      </c>
      <c r="AA6" s="39" t="s">
        <v>235</v>
      </c>
      <c r="AB6" s="39" t="s">
        <v>216</v>
      </c>
      <c r="AC6" s="39" t="s">
        <v>244</v>
      </c>
      <c r="AD6" s="42">
        <v>481000</v>
      </c>
      <c r="AE6" s="42">
        <v>15200</v>
      </c>
      <c r="AF6" s="42">
        <v>4400</v>
      </c>
      <c r="AG6" s="41">
        <v>0</v>
      </c>
      <c r="AH6" s="42">
        <v>496200</v>
      </c>
      <c r="AI6" s="42">
        <v>496200</v>
      </c>
      <c r="AJ6" s="41">
        <v>0</v>
      </c>
      <c r="AK6" s="42">
        <v>496200</v>
      </c>
      <c r="AL6" s="41">
        <v>0</v>
      </c>
      <c r="AM6" s="41">
        <v>0</v>
      </c>
      <c r="AN6" s="41">
        <v>0</v>
      </c>
      <c r="AO6" s="41">
        <v>0</v>
      </c>
      <c r="AP6" s="39" t="s">
        <v>207</v>
      </c>
      <c r="AQ6" s="41"/>
      <c r="AR6" s="41">
        <v>4</v>
      </c>
      <c r="AS6" s="41">
        <v>0</v>
      </c>
      <c r="AT6" s="55">
        <v>21164</v>
      </c>
      <c r="AU6" s="55">
        <v>19240</v>
      </c>
      <c r="AV6" s="39" t="s">
        <v>245</v>
      </c>
      <c r="AW6" s="39" t="s">
        <v>246</v>
      </c>
      <c r="AX6" s="42">
        <v>1924</v>
      </c>
      <c r="AY6" s="39" t="s">
        <v>200</v>
      </c>
      <c r="AZ6" s="39" t="s">
        <v>247</v>
      </c>
    </row>
    <row r="7" spans="1:52" s="43" customFormat="1" x14ac:dyDescent="0.3">
      <c r="A7" s="41">
        <v>13</v>
      </c>
      <c r="B7" s="39" t="s">
        <v>239</v>
      </c>
      <c r="C7" s="39" t="s">
        <v>248</v>
      </c>
      <c r="D7" s="39" t="s">
        <v>200</v>
      </c>
      <c r="E7" s="39" t="s">
        <v>201</v>
      </c>
      <c r="F7" s="39" t="s">
        <v>202</v>
      </c>
      <c r="G7" s="39" t="s">
        <v>249</v>
      </c>
      <c r="H7" s="39" t="s">
        <v>242</v>
      </c>
      <c r="I7" s="39" t="s">
        <v>205</v>
      </c>
      <c r="J7" s="39" t="s">
        <v>206</v>
      </c>
      <c r="K7" s="39" t="s">
        <v>231</v>
      </c>
      <c r="L7" s="39" t="s">
        <v>132</v>
      </c>
      <c r="M7" s="41"/>
      <c r="N7" s="39" t="s">
        <v>232</v>
      </c>
      <c r="O7" s="39" t="s">
        <v>208</v>
      </c>
      <c r="P7" s="39" t="s">
        <v>209</v>
      </c>
      <c r="Q7" s="41"/>
      <c r="R7" s="41"/>
      <c r="S7" s="39" t="s">
        <v>133</v>
      </c>
      <c r="T7" s="39" t="s">
        <v>134</v>
      </c>
      <c r="U7" s="39" t="s">
        <v>243</v>
      </c>
      <c r="V7" s="39" t="s">
        <v>211</v>
      </c>
      <c r="W7" s="39" t="s">
        <v>212</v>
      </c>
      <c r="X7" s="39" t="s">
        <v>213</v>
      </c>
      <c r="Y7" s="39" t="s">
        <v>212</v>
      </c>
      <c r="Z7" s="39" t="s">
        <v>234</v>
      </c>
      <c r="AA7" s="39" t="s">
        <v>235</v>
      </c>
      <c r="AB7" s="39" t="s">
        <v>216</v>
      </c>
      <c r="AC7" s="39" t="s">
        <v>250</v>
      </c>
      <c r="AD7" s="41">
        <v>0</v>
      </c>
      <c r="AE7" s="42">
        <v>24400</v>
      </c>
      <c r="AF7" s="41">
        <v>0</v>
      </c>
      <c r="AG7" s="41">
        <v>0</v>
      </c>
      <c r="AH7" s="42">
        <v>24400</v>
      </c>
      <c r="AI7" s="42">
        <v>24400</v>
      </c>
      <c r="AJ7" s="41">
        <v>0</v>
      </c>
      <c r="AK7" s="42">
        <v>24400</v>
      </c>
      <c r="AL7" s="41">
        <v>0</v>
      </c>
      <c r="AM7" s="41">
        <v>0</v>
      </c>
      <c r="AN7" s="41">
        <v>0</v>
      </c>
      <c r="AO7" s="41">
        <v>0</v>
      </c>
      <c r="AP7" s="39" t="s">
        <v>207</v>
      </c>
      <c r="AQ7" s="41"/>
      <c r="AR7" s="41">
        <v>0</v>
      </c>
      <c r="AS7" s="41">
        <v>0</v>
      </c>
      <c r="AT7" s="55">
        <v>0</v>
      </c>
      <c r="AU7" s="55">
        <v>0</v>
      </c>
      <c r="AV7" s="41"/>
      <c r="AW7" s="41"/>
      <c r="AX7" s="41">
        <v>0</v>
      </c>
      <c r="AY7" s="39" t="s">
        <v>251</v>
      </c>
      <c r="AZ7" s="39" t="s">
        <v>220</v>
      </c>
    </row>
    <row r="8" spans="1:52" s="43" customFormat="1" x14ac:dyDescent="0.3">
      <c r="A8" s="41">
        <v>14</v>
      </c>
      <c r="B8" s="39" t="s">
        <v>198</v>
      </c>
      <c r="C8" s="39" t="s">
        <v>252</v>
      </c>
      <c r="D8" s="39" t="s">
        <v>200</v>
      </c>
      <c r="E8" s="39" t="s">
        <v>201</v>
      </c>
      <c r="F8" s="39" t="s">
        <v>202</v>
      </c>
      <c r="G8" s="39" t="s">
        <v>249</v>
      </c>
      <c r="H8" s="39" t="s">
        <v>204</v>
      </c>
      <c r="I8" s="39" t="s">
        <v>205</v>
      </c>
      <c r="J8" s="39" t="s">
        <v>206</v>
      </c>
      <c r="K8" s="39" t="s">
        <v>253</v>
      </c>
      <c r="L8" s="39" t="s">
        <v>138</v>
      </c>
      <c r="M8" s="41"/>
      <c r="N8" s="39" t="s">
        <v>254</v>
      </c>
      <c r="O8" s="39" t="s">
        <v>208</v>
      </c>
      <c r="P8" s="39" t="s">
        <v>209</v>
      </c>
      <c r="Q8" s="41"/>
      <c r="R8" s="41"/>
      <c r="S8" s="39" t="s">
        <v>139</v>
      </c>
      <c r="T8" s="39" t="s">
        <v>140</v>
      </c>
      <c r="U8" s="39" t="s">
        <v>210</v>
      </c>
      <c r="V8" s="39" t="s">
        <v>211</v>
      </c>
      <c r="W8" s="39" t="s">
        <v>212</v>
      </c>
      <c r="X8" s="39" t="s">
        <v>213</v>
      </c>
      <c r="Y8" s="39" t="s">
        <v>212</v>
      </c>
      <c r="Z8" s="39" t="s">
        <v>214</v>
      </c>
      <c r="AA8" s="39" t="s">
        <v>215</v>
      </c>
      <c r="AB8" s="39" t="s">
        <v>216</v>
      </c>
      <c r="AC8" s="39" t="s">
        <v>255</v>
      </c>
      <c r="AD8" s="42">
        <v>561000</v>
      </c>
      <c r="AE8" s="42">
        <v>94600</v>
      </c>
      <c r="AF8" s="42">
        <v>51000</v>
      </c>
      <c r="AG8" s="41">
        <v>0</v>
      </c>
      <c r="AH8" s="42">
        <v>655600</v>
      </c>
      <c r="AI8" s="42">
        <v>655600</v>
      </c>
      <c r="AJ8" s="41">
        <v>0</v>
      </c>
      <c r="AK8" s="42">
        <v>655600</v>
      </c>
      <c r="AL8" s="41">
        <v>0</v>
      </c>
      <c r="AM8" s="41">
        <v>0</v>
      </c>
      <c r="AN8" s="41">
        <v>0</v>
      </c>
      <c r="AO8" s="41">
        <v>0</v>
      </c>
      <c r="AP8" s="39" t="s">
        <v>207</v>
      </c>
      <c r="AQ8" s="41"/>
      <c r="AR8" s="41">
        <v>4</v>
      </c>
      <c r="AS8" s="41">
        <v>0</v>
      </c>
      <c r="AT8" s="55">
        <v>24684</v>
      </c>
      <c r="AU8" s="55">
        <v>22440</v>
      </c>
      <c r="AV8" s="39" t="s">
        <v>256</v>
      </c>
      <c r="AW8" s="39" t="s">
        <v>257</v>
      </c>
      <c r="AX8" s="42">
        <v>2244</v>
      </c>
      <c r="AY8" s="39" t="s">
        <v>200</v>
      </c>
      <c r="AZ8" s="39" t="s">
        <v>220</v>
      </c>
    </row>
    <row r="9" spans="1:52" s="43" customFormat="1" x14ac:dyDescent="0.3">
      <c r="A9" s="41">
        <v>19</v>
      </c>
      <c r="B9" s="39" t="s">
        <v>258</v>
      </c>
      <c r="C9" s="39" t="s">
        <v>259</v>
      </c>
      <c r="D9" s="39" t="s">
        <v>200</v>
      </c>
      <c r="E9" s="39" t="s">
        <v>201</v>
      </c>
      <c r="F9" s="39" t="s">
        <v>202</v>
      </c>
      <c r="G9" s="39" t="s">
        <v>260</v>
      </c>
      <c r="H9" s="39" t="s">
        <v>261</v>
      </c>
      <c r="I9" s="39" t="s">
        <v>205</v>
      </c>
      <c r="J9" s="39" t="s">
        <v>206</v>
      </c>
      <c r="K9" s="41"/>
      <c r="L9" s="39" t="s">
        <v>101</v>
      </c>
      <c r="M9" s="41"/>
      <c r="N9" s="39" t="s">
        <v>207</v>
      </c>
      <c r="O9" s="39" t="s">
        <v>208</v>
      </c>
      <c r="P9" s="39" t="s">
        <v>209</v>
      </c>
      <c r="Q9" s="41"/>
      <c r="R9" s="41"/>
      <c r="S9" s="39" t="s">
        <v>126</v>
      </c>
      <c r="T9" s="39" t="s">
        <v>103</v>
      </c>
      <c r="U9" s="39" t="s">
        <v>262</v>
      </c>
      <c r="V9" s="39" t="s">
        <v>211</v>
      </c>
      <c r="W9" s="39" t="s">
        <v>212</v>
      </c>
      <c r="X9" s="39" t="s">
        <v>213</v>
      </c>
      <c r="Y9" s="39" t="s">
        <v>212</v>
      </c>
      <c r="Z9" s="39" t="s">
        <v>263</v>
      </c>
      <c r="AA9" s="39" t="s">
        <v>264</v>
      </c>
      <c r="AB9" s="39" t="s">
        <v>216</v>
      </c>
      <c r="AC9" s="41">
        <v>11608203</v>
      </c>
      <c r="AD9" s="42">
        <v>642000</v>
      </c>
      <c r="AE9" s="42">
        <v>69200</v>
      </c>
      <c r="AF9" s="42">
        <v>49600</v>
      </c>
      <c r="AG9" s="41">
        <v>0</v>
      </c>
      <c r="AH9" s="42">
        <v>711200</v>
      </c>
      <c r="AI9" s="41">
        <v>0</v>
      </c>
      <c r="AJ9" s="42">
        <v>711200</v>
      </c>
      <c r="AK9" s="41">
        <v>0</v>
      </c>
      <c r="AL9" s="41">
        <v>0</v>
      </c>
      <c r="AM9" s="41">
        <v>0</v>
      </c>
      <c r="AN9" s="41">
        <v>0</v>
      </c>
      <c r="AO9" s="41">
        <v>0</v>
      </c>
      <c r="AP9" s="39" t="s">
        <v>207</v>
      </c>
      <c r="AQ9" s="41"/>
      <c r="AR9" s="41">
        <v>4</v>
      </c>
      <c r="AS9" s="41">
        <v>0</v>
      </c>
      <c r="AT9" s="55">
        <v>28248</v>
      </c>
      <c r="AU9" s="55">
        <v>25680</v>
      </c>
      <c r="AV9" s="39" t="s">
        <v>265</v>
      </c>
      <c r="AW9" s="39" t="s">
        <v>266</v>
      </c>
      <c r="AX9" s="42">
        <v>2568</v>
      </c>
      <c r="AY9" s="39" t="s">
        <v>200</v>
      </c>
      <c r="AZ9" s="39" t="s">
        <v>267</v>
      </c>
    </row>
    <row r="10" spans="1:52" s="43" customFormat="1" x14ac:dyDescent="0.3">
      <c r="A10" s="41">
        <v>20</v>
      </c>
      <c r="B10" s="39" t="s">
        <v>258</v>
      </c>
      <c r="C10" s="39" t="s">
        <v>268</v>
      </c>
      <c r="D10" s="39" t="s">
        <v>200</v>
      </c>
      <c r="E10" s="39" t="s">
        <v>201</v>
      </c>
      <c r="F10" s="39" t="s">
        <v>202</v>
      </c>
      <c r="G10" s="39" t="s">
        <v>260</v>
      </c>
      <c r="H10" s="39" t="s">
        <v>261</v>
      </c>
      <c r="I10" s="39" t="s">
        <v>205</v>
      </c>
      <c r="J10" s="39" t="s">
        <v>206</v>
      </c>
      <c r="K10" s="41"/>
      <c r="L10" s="39" t="s">
        <v>105</v>
      </c>
      <c r="M10" s="41"/>
      <c r="N10" s="39" t="s">
        <v>207</v>
      </c>
      <c r="O10" s="39" t="s">
        <v>208</v>
      </c>
      <c r="P10" s="39" t="s">
        <v>209</v>
      </c>
      <c r="Q10" s="41"/>
      <c r="R10" s="41"/>
      <c r="S10" s="39" t="s">
        <v>126</v>
      </c>
      <c r="T10" s="39" t="s">
        <v>103</v>
      </c>
      <c r="U10" s="39" t="s">
        <v>262</v>
      </c>
      <c r="V10" s="39" t="s">
        <v>211</v>
      </c>
      <c r="W10" s="39" t="s">
        <v>212</v>
      </c>
      <c r="X10" s="39" t="s">
        <v>213</v>
      </c>
      <c r="Y10" s="39" t="s">
        <v>212</v>
      </c>
      <c r="Z10" s="39" t="s">
        <v>263</v>
      </c>
      <c r="AA10" s="39" t="s">
        <v>264</v>
      </c>
      <c r="AB10" s="39" t="s">
        <v>216</v>
      </c>
      <c r="AC10" s="41">
        <v>12608203</v>
      </c>
      <c r="AD10" s="42">
        <v>642000</v>
      </c>
      <c r="AE10" s="42">
        <v>69200</v>
      </c>
      <c r="AF10" s="42">
        <v>49600</v>
      </c>
      <c r="AG10" s="41">
        <v>0</v>
      </c>
      <c r="AH10" s="42">
        <v>711200</v>
      </c>
      <c r="AI10" s="41">
        <v>0</v>
      </c>
      <c r="AJ10" s="42">
        <v>711200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39" t="s">
        <v>207</v>
      </c>
      <c r="AQ10" s="41"/>
      <c r="AR10" s="41">
        <v>4</v>
      </c>
      <c r="AS10" s="41">
        <v>0</v>
      </c>
      <c r="AT10" s="55">
        <v>28248</v>
      </c>
      <c r="AU10" s="55">
        <v>25680</v>
      </c>
      <c r="AV10" s="39" t="s">
        <v>269</v>
      </c>
      <c r="AW10" s="39" t="s">
        <v>266</v>
      </c>
      <c r="AX10" s="42">
        <v>2568</v>
      </c>
      <c r="AY10" s="39" t="s">
        <v>200</v>
      </c>
      <c r="AZ10" s="39" t="s">
        <v>267</v>
      </c>
    </row>
    <row r="11" spans="1:52" s="43" customFormat="1" x14ac:dyDescent="0.3">
      <c r="A11" s="41">
        <v>21</v>
      </c>
      <c r="B11" s="39" t="s">
        <v>270</v>
      </c>
      <c r="C11" s="39" t="s">
        <v>271</v>
      </c>
      <c r="D11" s="39" t="s">
        <v>200</v>
      </c>
      <c r="E11" s="39" t="s">
        <v>201</v>
      </c>
      <c r="F11" s="39" t="s">
        <v>202</v>
      </c>
      <c r="G11" s="39" t="s">
        <v>260</v>
      </c>
      <c r="H11" s="39" t="s">
        <v>272</v>
      </c>
      <c r="I11" s="39" t="s">
        <v>205</v>
      </c>
      <c r="J11" s="39" t="s">
        <v>206</v>
      </c>
      <c r="K11" s="41"/>
      <c r="L11" s="39" t="s">
        <v>101</v>
      </c>
      <c r="M11" s="41"/>
      <c r="N11" s="39" t="s">
        <v>207</v>
      </c>
      <c r="O11" s="39" t="s">
        <v>208</v>
      </c>
      <c r="P11" s="39" t="s">
        <v>209</v>
      </c>
      <c r="Q11" s="41"/>
      <c r="R11" s="41"/>
      <c r="S11" s="39" t="s">
        <v>128</v>
      </c>
      <c r="T11" s="39" t="s">
        <v>129</v>
      </c>
      <c r="U11" s="39" t="s">
        <v>273</v>
      </c>
      <c r="V11" s="39" t="s">
        <v>274</v>
      </c>
      <c r="W11" s="39" t="s">
        <v>212</v>
      </c>
      <c r="X11" s="39" t="s">
        <v>213</v>
      </c>
      <c r="Y11" s="39" t="s">
        <v>212</v>
      </c>
      <c r="Z11" s="39" t="s">
        <v>263</v>
      </c>
      <c r="AA11" s="39" t="s">
        <v>264</v>
      </c>
      <c r="AB11" s="39" t="s">
        <v>216</v>
      </c>
      <c r="AC11" s="39" t="s">
        <v>275</v>
      </c>
      <c r="AD11" s="42">
        <v>400000</v>
      </c>
      <c r="AE11" s="42">
        <v>51700</v>
      </c>
      <c r="AF11" s="42">
        <v>27700</v>
      </c>
      <c r="AG11" s="41">
        <v>0</v>
      </c>
      <c r="AH11" s="42">
        <v>451700</v>
      </c>
      <c r="AI11" s="42">
        <v>451700</v>
      </c>
      <c r="AJ11" s="41">
        <v>0</v>
      </c>
      <c r="AK11" s="42">
        <v>451700</v>
      </c>
      <c r="AL11" s="41">
        <v>0</v>
      </c>
      <c r="AM11" s="41">
        <v>0</v>
      </c>
      <c r="AN11" s="41">
        <v>0</v>
      </c>
      <c r="AO11" s="41">
        <v>0</v>
      </c>
      <c r="AP11" s="39" t="s">
        <v>207</v>
      </c>
      <c r="AQ11" s="41"/>
      <c r="AR11" s="41">
        <v>4</v>
      </c>
      <c r="AS11" s="41">
        <v>0</v>
      </c>
      <c r="AT11" s="55">
        <v>17600</v>
      </c>
      <c r="AU11" s="55">
        <v>16000</v>
      </c>
      <c r="AV11" s="39" t="s">
        <v>276</v>
      </c>
      <c r="AW11" s="39" t="s">
        <v>266</v>
      </c>
      <c r="AX11" s="42">
        <v>1600</v>
      </c>
      <c r="AY11" s="39" t="s">
        <v>200</v>
      </c>
      <c r="AZ11" s="39" t="s">
        <v>220</v>
      </c>
    </row>
    <row r="12" spans="1:52" s="43" customFormat="1" x14ac:dyDescent="0.3">
      <c r="A12" s="41">
        <v>22</v>
      </c>
      <c r="B12" s="39" t="s">
        <v>270</v>
      </c>
      <c r="C12" s="39" t="s">
        <v>277</v>
      </c>
      <c r="D12" s="39" t="s">
        <v>200</v>
      </c>
      <c r="E12" s="39" t="s">
        <v>201</v>
      </c>
      <c r="F12" s="39" t="s">
        <v>202</v>
      </c>
      <c r="G12" s="39" t="s">
        <v>260</v>
      </c>
      <c r="H12" s="39" t="s">
        <v>272</v>
      </c>
      <c r="I12" s="39" t="s">
        <v>205</v>
      </c>
      <c r="J12" s="39" t="s">
        <v>206</v>
      </c>
      <c r="K12" s="41"/>
      <c r="L12" s="39" t="s">
        <v>105</v>
      </c>
      <c r="M12" s="41"/>
      <c r="N12" s="39" t="s">
        <v>207</v>
      </c>
      <c r="O12" s="39" t="s">
        <v>208</v>
      </c>
      <c r="P12" s="39" t="s">
        <v>209</v>
      </c>
      <c r="Q12" s="41"/>
      <c r="R12" s="41"/>
      <c r="S12" s="39" t="s">
        <v>128</v>
      </c>
      <c r="T12" s="39" t="s">
        <v>129</v>
      </c>
      <c r="U12" s="39" t="s">
        <v>273</v>
      </c>
      <c r="V12" s="39" t="s">
        <v>274</v>
      </c>
      <c r="W12" s="39" t="s">
        <v>212</v>
      </c>
      <c r="X12" s="39" t="s">
        <v>213</v>
      </c>
      <c r="Y12" s="39" t="s">
        <v>212</v>
      </c>
      <c r="Z12" s="39" t="s">
        <v>263</v>
      </c>
      <c r="AA12" s="39" t="s">
        <v>264</v>
      </c>
      <c r="AB12" s="39" t="s">
        <v>216</v>
      </c>
      <c r="AC12" s="39" t="s">
        <v>278</v>
      </c>
      <c r="AD12" s="42">
        <v>400000</v>
      </c>
      <c r="AE12" s="42">
        <v>51700</v>
      </c>
      <c r="AF12" s="42">
        <v>27700</v>
      </c>
      <c r="AG12" s="41">
        <v>0</v>
      </c>
      <c r="AH12" s="42">
        <v>451700</v>
      </c>
      <c r="AI12" s="42">
        <v>451700</v>
      </c>
      <c r="AJ12" s="41">
        <v>0</v>
      </c>
      <c r="AK12" s="42">
        <v>451700</v>
      </c>
      <c r="AL12" s="41">
        <v>0</v>
      </c>
      <c r="AM12" s="41">
        <v>0</v>
      </c>
      <c r="AN12" s="41">
        <v>0</v>
      </c>
      <c r="AO12" s="41">
        <v>0</v>
      </c>
      <c r="AP12" s="39" t="s">
        <v>207</v>
      </c>
      <c r="AQ12" s="41"/>
      <c r="AR12" s="41">
        <v>4</v>
      </c>
      <c r="AS12" s="41">
        <v>0</v>
      </c>
      <c r="AT12" s="55">
        <v>17600</v>
      </c>
      <c r="AU12" s="55">
        <v>16000</v>
      </c>
      <c r="AV12" s="39" t="s">
        <v>279</v>
      </c>
      <c r="AW12" s="39" t="s">
        <v>266</v>
      </c>
      <c r="AX12" s="42">
        <v>1600</v>
      </c>
      <c r="AY12" s="39" t="s">
        <v>200</v>
      </c>
      <c r="AZ12" s="39" t="s">
        <v>220</v>
      </c>
    </row>
    <row r="13" spans="1:52" s="43" customFormat="1" ht="15.75" customHeight="1" x14ac:dyDescent="0.3">
      <c r="A13" s="41">
        <v>23</v>
      </c>
      <c r="B13" s="39" t="s">
        <v>227</v>
      </c>
      <c r="C13" s="39" t="s">
        <v>280</v>
      </c>
      <c r="D13" s="39" t="s">
        <v>200</v>
      </c>
      <c r="E13" s="39" t="s">
        <v>201</v>
      </c>
      <c r="F13" s="39" t="s">
        <v>202</v>
      </c>
      <c r="G13" s="39" t="s">
        <v>281</v>
      </c>
      <c r="H13" s="39" t="s">
        <v>230</v>
      </c>
      <c r="I13" s="39" t="s">
        <v>205</v>
      </c>
      <c r="J13" s="39" t="s">
        <v>206</v>
      </c>
      <c r="K13" s="41"/>
      <c r="L13" s="39" t="s">
        <v>109</v>
      </c>
      <c r="M13" s="41"/>
      <c r="N13" s="39" t="s">
        <v>207</v>
      </c>
      <c r="O13" s="39" t="s">
        <v>208</v>
      </c>
      <c r="P13" s="39" t="s">
        <v>209</v>
      </c>
      <c r="Q13" s="41"/>
      <c r="R13" s="41"/>
      <c r="S13" s="39" t="s">
        <v>119</v>
      </c>
      <c r="T13" s="39" t="s">
        <v>120</v>
      </c>
      <c r="U13" s="39" t="s">
        <v>282</v>
      </c>
      <c r="V13" s="39" t="s">
        <v>211</v>
      </c>
      <c r="W13" s="39" t="s">
        <v>212</v>
      </c>
      <c r="X13" s="39" t="s">
        <v>213</v>
      </c>
      <c r="Y13" s="39" t="s">
        <v>212</v>
      </c>
      <c r="Z13" s="39" t="s">
        <v>283</v>
      </c>
      <c r="AA13" s="39" t="s">
        <v>284</v>
      </c>
      <c r="AB13" s="39" t="s">
        <v>216</v>
      </c>
      <c r="AC13" s="39" t="s">
        <v>285</v>
      </c>
      <c r="AD13" s="42">
        <v>680000</v>
      </c>
      <c r="AE13" s="42">
        <v>85600</v>
      </c>
      <c r="AF13" s="42">
        <v>42000</v>
      </c>
      <c r="AG13" s="41">
        <v>0</v>
      </c>
      <c r="AH13" s="42">
        <v>765600</v>
      </c>
      <c r="AI13" s="42">
        <v>765600</v>
      </c>
      <c r="AJ13" s="41">
        <v>0</v>
      </c>
      <c r="AK13" s="42">
        <v>765600</v>
      </c>
      <c r="AL13" s="41">
        <v>0</v>
      </c>
      <c r="AM13" s="41">
        <v>0</v>
      </c>
      <c r="AN13" s="41">
        <v>0</v>
      </c>
      <c r="AO13" s="41">
        <v>0</v>
      </c>
      <c r="AP13" s="39" t="s">
        <v>207</v>
      </c>
      <c r="AQ13" s="41"/>
      <c r="AR13" s="41">
        <v>4</v>
      </c>
      <c r="AS13" s="41">
        <v>0</v>
      </c>
      <c r="AT13" s="55">
        <v>29920</v>
      </c>
      <c r="AU13" s="55">
        <v>27200</v>
      </c>
      <c r="AV13" s="39" t="s">
        <v>286</v>
      </c>
      <c r="AW13" s="39" t="s">
        <v>287</v>
      </c>
      <c r="AX13" s="42">
        <v>2720</v>
      </c>
      <c r="AY13" s="39" t="s">
        <v>200</v>
      </c>
      <c r="AZ13" s="39" t="s">
        <v>220</v>
      </c>
    </row>
    <row r="14" spans="1:52" s="43" customFormat="1" x14ac:dyDescent="0.3">
      <c r="A14" s="41">
        <v>24</v>
      </c>
      <c r="B14" s="39" t="s">
        <v>227</v>
      </c>
      <c r="C14" s="39" t="s">
        <v>288</v>
      </c>
      <c r="D14" s="39" t="s">
        <v>200</v>
      </c>
      <c r="E14" s="39" t="s">
        <v>201</v>
      </c>
      <c r="F14" s="39" t="s">
        <v>202</v>
      </c>
      <c r="G14" s="39" t="s">
        <v>281</v>
      </c>
      <c r="H14" s="39" t="s">
        <v>230</v>
      </c>
      <c r="I14" s="39" t="s">
        <v>205</v>
      </c>
      <c r="J14" s="39" t="s">
        <v>206</v>
      </c>
      <c r="K14" s="39" t="s">
        <v>289</v>
      </c>
      <c r="L14" s="39" t="s">
        <v>124</v>
      </c>
      <c r="M14" s="41"/>
      <c r="N14" s="39" t="s">
        <v>290</v>
      </c>
      <c r="O14" s="39" t="s">
        <v>208</v>
      </c>
      <c r="P14" s="39" t="s">
        <v>209</v>
      </c>
      <c r="Q14" s="41"/>
      <c r="R14" s="41"/>
      <c r="S14" s="39" t="s">
        <v>119</v>
      </c>
      <c r="T14" s="39" t="s">
        <v>120</v>
      </c>
      <c r="U14" s="39" t="s">
        <v>282</v>
      </c>
      <c r="V14" s="39" t="s">
        <v>211</v>
      </c>
      <c r="W14" s="39" t="s">
        <v>212</v>
      </c>
      <c r="X14" s="39" t="s">
        <v>213</v>
      </c>
      <c r="Y14" s="39" t="s">
        <v>212</v>
      </c>
      <c r="Z14" s="39" t="s">
        <v>283</v>
      </c>
      <c r="AA14" s="39" t="s">
        <v>284</v>
      </c>
      <c r="AB14" s="39" t="s">
        <v>216</v>
      </c>
      <c r="AC14" s="39" t="s">
        <v>291</v>
      </c>
      <c r="AD14" s="42">
        <v>680000</v>
      </c>
      <c r="AE14" s="42">
        <v>85600</v>
      </c>
      <c r="AF14" s="42">
        <v>42000</v>
      </c>
      <c r="AG14" s="41">
        <v>0</v>
      </c>
      <c r="AH14" s="42">
        <v>765600</v>
      </c>
      <c r="AI14" s="42">
        <v>765600</v>
      </c>
      <c r="AJ14" s="41">
        <v>0</v>
      </c>
      <c r="AK14" s="42">
        <v>765600</v>
      </c>
      <c r="AL14" s="41">
        <v>0</v>
      </c>
      <c r="AM14" s="41">
        <v>0</v>
      </c>
      <c r="AN14" s="41">
        <v>0</v>
      </c>
      <c r="AO14" s="41">
        <v>0</v>
      </c>
      <c r="AP14" s="39" t="s">
        <v>207</v>
      </c>
      <c r="AQ14" s="41"/>
      <c r="AR14" s="41">
        <v>4</v>
      </c>
      <c r="AS14" s="41">
        <v>0</v>
      </c>
      <c r="AT14" s="55">
        <v>29920</v>
      </c>
      <c r="AU14" s="55">
        <v>27200</v>
      </c>
      <c r="AV14" s="39" t="s">
        <v>292</v>
      </c>
      <c r="AW14" s="39" t="s">
        <v>287</v>
      </c>
      <c r="AX14" s="42">
        <v>2720</v>
      </c>
      <c r="AY14" s="39" t="s">
        <v>200</v>
      </c>
      <c r="AZ14" s="39" t="s">
        <v>220</v>
      </c>
    </row>
    <row r="15" spans="1:52" s="43" customFormat="1" x14ac:dyDescent="0.3">
      <c r="A15" s="41">
        <v>25</v>
      </c>
      <c r="B15" s="39" t="s">
        <v>227</v>
      </c>
      <c r="C15" s="39" t="s">
        <v>293</v>
      </c>
      <c r="D15" s="39" t="s">
        <v>200</v>
      </c>
      <c r="E15" s="39" t="s">
        <v>201</v>
      </c>
      <c r="F15" s="39" t="s">
        <v>202</v>
      </c>
      <c r="G15" s="39" t="s">
        <v>281</v>
      </c>
      <c r="H15" s="39" t="s">
        <v>230</v>
      </c>
      <c r="I15" s="39" t="s">
        <v>205</v>
      </c>
      <c r="J15" s="39" t="s">
        <v>206</v>
      </c>
      <c r="K15" s="41"/>
      <c r="L15" s="39" t="s">
        <v>125</v>
      </c>
      <c r="M15" s="41"/>
      <c r="N15" s="39" t="s">
        <v>207</v>
      </c>
      <c r="O15" s="39" t="s">
        <v>208</v>
      </c>
      <c r="P15" s="39" t="s">
        <v>209</v>
      </c>
      <c r="Q15" s="41"/>
      <c r="R15" s="41"/>
      <c r="S15" s="39" t="s">
        <v>119</v>
      </c>
      <c r="T15" s="39" t="s">
        <v>120</v>
      </c>
      <c r="U15" s="39" t="s">
        <v>282</v>
      </c>
      <c r="V15" s="39" t="s">
        <v>211</v>
      </c>
      <c r="W15" s="39" t="s">
        <v>212</v>
      </c>
      <c r="X15" s="39" t="s">
        <v>213</v>
      </c>
      <c r="Y15" s="39" t="s">
        <v>212</v>
      </c>
      <c r="Z15" s="39" t="s">
        <v>283</v>
      </c>
      <c r="AA15" s="39" t="s">
        <v>284</v>
      </c>
      <c r="AB15" s="39" t="s">
        <v>216</v>
      </c>
      <c r="AC15" s="39" t="s">
        <v>294</v>
      </c>
      <c r="AD15" s="42">
        <v>680000</v>
      </c>
      <c r="AE15" s="42">
        <v>85600</v>
      </c>
      <c r="AF15" s="42">
        <v>42000</v>
      </c>
      <c r="AG15" s="41">
        <v>0</v>
      </c>
      <c r="AH15" s="42">
        <v>765600</v>
      </c>
      <c r="AI15" s="42">
        <v>765600</v>
      </c>
      <c r="AJ15" s="41">
        <v>0</v>
      </c>
      <c r="AK15" s="42">
        <v>765600</v>
      </c>
      <c r="AL15" s="41">
        <v>0</v>
      </c>
      <c r="AM15" s="41">
        <v>0</v>
      </c>
      <c r="AN15" s="41">
        <v>0</v>
      </c>
      <c r="AO15" s="41">
        <v>0</v>
      </c>
      <c r="AP15" s="39" t="s">
        <v>207</v>
      </c>
      <c r="AQ15" s="41"/>
      <c r="AR15" s="41">
        <v>4</v>
      </c>
      <c r="AS15" s="41">
        <v>0</v>
      </c>
      <c r="AT15" s="55">
        <v>29920</v>
      </c>
      <c r="AU15" s="55">
        <v>27200</v>
      </c>
      <c r="AV15" s="39" t="s">
        <v>295</v>
      </c>
      <c r="AW15" s="39" t="s">
        <v>287</v>
      </c>
      <c r="AX15" s="42">
        <v>2720</v>
      </c>
      <c r="AY15" s="39" t="s">
        <v>200</v>
      </c>
      <c r="AZ15" s="39" t="s">
        <v>220</v>
      </c>
    </row>
    <row r="16" spans="1:52" s="43" customFormat="1" x14ac:dyDescent="0.3">
      <c r="A16" s="41">
        <v>26</v>
      </c>
      <c r="B16" s="39" t="s">
        <v>227</v>
      </c>
      <c r="C16" s="39" t="s">
        <v>296</v>
      </c>
      <c r="D16" s="39" t="s">
        <v>200</v>
      </c>
      <c r="E16" s="39" t="s">
        <v>201</v>
      </c>
      <c r="F16" s="39" t="s">
        <v>202</v>
      </c>
      <c r="G16" s="39" t="s">
        <v>281</v>
      </c>
      <c r="H16" s="39" t="s">
        <v>230</v>
      </c>
      <c r="I16" s="39" t="s">
        <v>205</v>
      </c>
      <c r="J16" s="39" t="s">
        <v>206</v>
      </c>
      <c r="K16" s="39" t="s">
        <v>297</v>
      </c>
      <c r="L16" s="39" t="s">
        <v>122</v>
      </c>
      <c r="M16" s="41"/>
      <c r="N16" s="39" t="s">
        <v>298</v>
      </c>
      <c r="O16" s="39" t="s">
        <v>208</v>
      </c>
      <c r="P16" s="39" t="s">
        <v>209</v>
      </c>
      <c r="Q16" s="41"/>
      <c r="R16" s="41"/>
      <c r="S16" s="39" t="s">
        <v>119</v>
      </c>
      <c r="T16" s="39" t="s">
        <v>120</v>
      </c>
      <c r="U16" s="39" t="s">
        <v>282</v>
      </c>
      <c r="V16" s="39" t="s">
        <v>211</v>
      </c>
      <c r="W16" s="39" t="s">
        <v>212</v>
      </c>
      <c r="X16" s="39" t="s">
        <v>213</v>
      </c>
      <c r="Y16" s="39" t="s">
        <v>212</v>
      </c>
      <c r="Z16" s="39" t="s">
        <v>283</v>
      </c>
      <c r="AA16" s="39" t="s">
        <v>284</v>
      </c>
      <c r="AB16" s="39" t="s">
        <v>216</v>
      </c>
      <c r="AC16" s="39" t="s">
        <v>299</v>
      </c>
      <c r="AD16" s="42">
        <v>680000</v>
      </c>
      <c r="AE16" s="42">
        <v>85600</v>
      </c>
      <c r="AF16" s="42">
        <v>42000</v>
      </c>
      <c r="AG16" s="41">
        <v>0</v>
      </c>
      <c r="AH16" s="42">
        <v>765600</v>
      </c>
      <c r="AI16" s="42">
        <v>765600</v>
      </c>
      <c r="AJ16" s="41">
        <v>0</v>
      </c>
      <c r="AK16" s="42">
        <v>765600</v>
      </c>
      <c r="AL16" s="41">
        <v>0</v>
      </c>
      <c r="AM16" s="41">
        <v>0</v>
      </c>
      <c r="AN16" s="41">
        <v>0</v>
      </c>
      <c r="AO16" s="41">
        <v>0</v>
      </c>
      <c r="AP16" s="39" t="s">
        <v>207</v>
      </c>
      <c r="AQ16" s="41"/>
      <c r="AR16" s="41">
        <v>4</v>
      </c>
      <c r="AS16" s="41">
        <v>0</v>
      </c>
      <c r="AT16" s="55">
        <v>29920</v>
      </c>
      <c r="AU16" s="55">
        <v>27200</v>
      </c>
      <c r="AV16" s="39" t="s">
        <v>300</v>
      </c>
      <c r="AW16" s="39" t="s">
        <v>287</v>
      </c>
      <c r="AX16" s="42">
        <v>2720</v>
      </c>
      <c r="AY16" s="39" t="s">
        <v>200</v>
      </c>
      <c r="AZ16" s="39" t="s">
        <v>220</v>
      </c>
    </row>
    <row r="17" spans="1:52" s="43" customFormat="1" x14ac:dyDescent="0.3">
      <c r="A17" s="41">
        <v>27</v>
      </c>
      <c r="B17" s="39" t="s">
        <v>227</v>
      </c>
      <c r="C17" s="39" t="s">
        <v>301</v>
      </c>
      <c r="D17" s="39" t="s">
        <v>200</v>
      </c>
      <c r="E17" s="39" t="s">
        <v>201</v>
      </c>
      <c r="F17" s="39" t="s">
        <v>202</v>
      </c>
      <c r="G17" s="39" t="s">
        <v>281</v>
      </c>
      <c r="H17" s="39" t="s">
        <v>230</v>
      </c>
      <c r="I17" s="39" t="s">
        <v>205</v>
      </c>
      <c r="J17" s="39" t="s">
        <v>206</v>
      </c>
      <c r="K17" s="39" t="s">
        <v>302</v>
      </c>
      <c r="L17" s="39" t="s">
        <v>123</v>
      </c>
      <c r="M17" s="41"/>
      <c r="N17" s="39" t="s">
        <v>303</v>
      </c>
      <c r="O17" s="39" t="s">
        <v>208</v>
      </c>
      <c r="P17" s="39" t="s">
        <v>209</v>
      </c>
      <c r="Q17" s="41"/>
      <c r="R17" s="41"/>
      <c r="S17" s="39" t="s">
        <v>119</v>
      </c>
      <c r="T17" s="39" t="s">
        <v>120</v>
      </c>
      <c r="U17" s="39" t="s">
        <v>282</v>
      </c>
      <c r="V17" s="39" t="s">
        <v>211</v>
      </c>
      <c r="W17" s="39" t="s">
        <v>212</v>
      </c>
      <c r="X17" s="39" t="s">
        <v>213</v>
      </c>
      <c r="Y17" s="39" t="s">
        <v>212</v>
      </c>
      <c r="Z17" s="39" t="s">
        <v>283</v>
      </c>
      <c r="AA17" s="39" t="s">
        <v>284</v>
      </c>
      <c r="AB17" s="39" t="s">
        <v>216</v>
      </c>
      <c r="AC17" s="39" t="s">
        <v>304</v>
      </c>
      <c r="AD17" s="42">
        <v>680000</v>
      </c>
      <c r="AE17" s="42">
        <v>85600</v>
      </c>
      <c r="AF17" s="42">
        <v>42000</v>
      </c>
      <c r="AG17" s="41">
        <v>0</v>
      </c>
      <c r="AH17" s="42">
        <v>765600</v>
      </c>
      <c r="AI17" s="42">
        <v>765600</v>
      </c>
      <c r="AJ17" s="41">
        <v>0</v>
      </c>
      <c r="AK17" s="42">
        <v>765600</v>
      </c>
      <c r="AL17" s="41">
        <v>0</v>
      </c>
      <c r="AM17" s="41">
        <v>0</v>
      </c>
      <c r="AN17" s="41">
        <v>0</v>
      </c>
      <c r="AO17" s="41">
        <v>0</v>
      </c>
      <c r="AP17" s="39" t="s">
        <v>207</v>
      </c>
      <c r="AQ17" s="41"/>
      <c r="AR17" s="41">
        <v>4</v>
      </c>
      <c r="AS17" s="41">
        <v>0</v>
      </c>
      <c r="AT17" s="55">
        <v>29920</v>
      </c>
      <c r="AU17" s="55">
        <v>27200</v>
      </c>
      <c r="AV17" s="39" t="s">
        <v>305</v>
      </c>
      <c r="AW17" s="39" t="s">
        <v>287</v>
      </c>
      <c r="AX17" s="42">
        <v>2720</v>
      </c>
      <c r="AY17" s="39" t="s">
        <v>200</v>
      </c>
      <c r="AZ17" s="39" t="s">
        <v>220</v>
      </c>
    </row>
    <row r="18" spans="1:52" s="43" customFormat="1" x14ac:dyDescent="0.3">
      <c r="A18" s="41">
        <v>28</v>
      </c>
      <c r="B18" s="39" t="s">
        <v>227</v>
      </c>
      <c r="C18" s="39" t="s">
        <v>306</v>
      </c>
      <c r="D18" s="39" t="s">
        <v>200</v>
      </c>
      <c r="E18" s="39" t="s">
        <v>201</v>
      </c>
      <c r="F18" s="39" t="s">
        <v>202</v>
      </c>
      <c r="G18" s="39" t="s">
        <v>281</v>
      </c>
      <c r="H18" s="39" t="s">
        <v>230</v>
      </c>
      <c r="I18" s="39" t="s">
        <v>205</v>
      </c>
      <c r="J18" s="39" t="s">
        <v>206</v>
      </c>
      <c r="K18" s="41"/>
      <c r="L18" s="39" t="s">
        <v>118</v>
      </c>
      <c r="M18" s="41"/>
      <c r="N18" s="39" t="s">
        <v>207</v>
      </c>
      <c r="O18" s="39" t="s">
        <v>208</v>
      </c>
      <c r="P18" s="39" t="s">
        <v>209</v>
      </c>
      <c r="Q18" s="41"/>
      <c r="R18" s="41"/>
      <c r="S18" s="39" t="s">
        <v>119</v>
      </c>
      <c r="T18" s="39" t="s">
        <v>120</v>
      </c>
      <c r="U18" s="39" t="s">
        <v>282</v>
      </c>
      <c r="V18" s="39" t="s">
        <v>211</v>
      </c>
      <c r="W18" s="39" t="s">
        <v>212</v>
      </c>
      <c r="X18" s="39" t="s">
        <v>213</v>
      </c>
      <c r="Y18" s="39" t="s">
        <v>212</v>
      </c>
      <c r="Z18" s="39" t="s">
        <v>283</v>
      </c>
      <c r="AA18" s="39" t="s">
        <v>284</v>
      </c>
      <c r="AB18" s="39" t="s">
        <v>216</v>
      </c>
      <c r="AC18" s="39" t="s">
        <v>307</v>
      </c>
      <c r="AD18" s="42">
        <v>680000</v>
      </c>
      <c r="AE18" s="42">
        <v>85600</v>
      </c>
      <c r="AF18" s="42">
        <v>42000</v>
      </c>
      <c r="AG18" s="41">
        <v>0</v>
      </c>
      <c r="AH18" s="42">
        <v>765600</v>
      </c>
      <c r="AI18" s="42">
        <v>765600</v>
      </c>
      <c r="AJ18" s="41">
        <v>0</v>
      </c>
      <c r="AK18" s="42">
        <v>765600</v>
      </c>
      <c r="AL18" s="41">
        <v>0</v>
      </c>
      <c r="AM18" s="41">
        <v>0</v>
      </c>
      <c r="AN18" s="41">
        <v>0</v>
      </c>
      <c r="AO18" s="41">
        <v>0</v>
      </c>
      <c r="AP18" s="39" t="s">
        <v>207</v>
      </c>
      <c r="AQ18" s="41"/>
      <c r="AR18" s="41">
        <v>4</v>
      </c>
      <c r="AS18" s="41">
        <v>0</v>
      </c>
      <c r="AT18" s="55">
        <v>29920</v>
      </c>
      <c r="AU18" s="55">
        <v>27200</v>
      </c>
      <c r="AV18" s="39" t="s">
        <v>308</v>
      </c>
      <c r="AW18" s="39" t="s">
        <v>287</v>
      </c>
      <c r="AX18" s="42">
        <v>2720</v>
      </c>
      <c r="AY18" s="39" t="s">
        <v>200</v>
      </c>
      <c r="AZ18" s="39" t="s">
        <v>220</v>
      </c>
    </row>
    <row r="19" spans="1:52" s="43" customFormat="1" x14ac:dyDescent="0.3">
      <c r="A19" s="44">
        <v>34</v>
      </c>
      <c r="B19" s="45" t="s">
        <v>227</v>
      </c>
      <c r="C19" s="45" t="s">
        <v>309</v>
      </c>
      <c r="D19" s="45" t="s">
        <v>200</v>
      </c>
      <c r="E19" s="45" t="s">
        <v>201</v>
      </c>
      <c r="F19" s="45" t="s">
        <v>202</v>
      </c>
      <c r="G19" s="45" t="s">
        <v>128</v>
      </c>
      <c r="H19" s="45" t="s">
        <v>230</v>
      </c>
      <c r="I19" s="45" t="s">
        <v>205</v>
      </c>
      <c r="J19" s="45" t="s">
        <v>206</v>
      </c>
      <c r="K19" s="44"/>
      <c r="L19" s="45" t="s">
        <v>112</v>
      </c>
      <c r="M19" s="44"/>
      <c r="N19" s="45" t="s">
        <v>207</v>
      </c>
      <c r="O19" s="45" t="s">
        <v>208</v>
      </c>
      <c r="P19" s="45" t="s">
        <v>209</v>
      </c>
      <c r="Q19" s="44"/>
      <c r="R19" s="44"/>
      <c r="S19" s="45" t="s">
        <v>113</v>
      </c>
      <c r="T19" s="45" t="s">
        <v>107</v>
      </c>
      <c r="U19" s="45" t="s">
        <v>310</v>
      </c>
      <c r="V19" s="45" t="s">
        <v>211</v>
      </c>
      <c r="W19" s="45" t="s">
        <v>311</v>
      </c>
      <c r="X19" s="45" t="s">
        <v>312</v>
      </c>
      <c r="Y19" s="45" t="s">
        <v>313</v>
      </c>
      <c r="Z19" s="45" t="s">
        <v>314</v>
      </c>
      <c r="AA19" s="45" t="s">
        <v>315</v>
      </c>
      <c r="AB19" s="45" t="s">
        <v>216</v>
      </c>
      <c r="AC19" s="45" t="s">
        <v>316</v>
      </c>
      <c r="AD19" s="46">
        <v>7323500</v>
      </c>
      <c r="AE19" s="46">
        <v>296500</v>
      </c>
      <c r="AF19" s="46">
        <v>159000</v>
      </c>
      <c r="AG19" s="44">
        <v>0</v>
      </c>
      <c r="AH19" s="46">
        <v>7620000</v>
      </c>
      <c r="AI19" s="46">
        <v>7620000</v>
      </c>
      <c r="AJ19" s="44">
        <v>0</v>
      </c>
      <c r="AK19" s="46">
        <v>7620000</v>
      </c>
      <c r="AL19" s="44">
        <v>0</v>
      </c>
      <c r="AM19" s="46">
        <v>7470000</v>
      </c>
      <c r="AN19" s="46">
        <v>7323500</v>
      </c>
      <c r="AO19" s="46">
        <v>296500</v>
      </c>
      <c r="AP19" s="45" t="s">
        <v>317</v>
      </c>
      <c r="AQ19" s="45" t="s">
        <v>318</v>
      </c>
      <c r="AR19" s="44">
        <v>4</v>
      </c>
      <c r="AS19" s="46">
        <v>150000</v>
      </c>
      <c r="AT19" s="57">
        <v>322234</v>
      </c>
      <c r="AU19" s="57">
        <v>292940</v>
      </c>
      <c r="AV19" s="45" t="s">
        <v>319</v>
      </c>
      <c r="AW19" s="45" t="s">
        <v>320</v>
      </c>
      <c r="AX19" s="46">
        <v>29294</v>
      </c>
      <c r="AY19" s="45" t="s">
        <v>200</v>
      </c>
      <c r="AZ19" s="45" t="s">
        <v>220</v>
      </c>
    </row>
    <row r="20" spans="1:52" s="43" customFormat="1" x14ac:dyDescent="0.3">
      <c r="A20" s="41">
        <v>36</v>
      </c>
      <c r="B20" s="39" t="s">
        <v>227</v>
      </c>
      <c r="C20" s="39" t="s">
        <v>321</v>
      </c>
      <c r="D20" s="39" t="s">
        <v>200</v>
      </c>
      <c r="E20" s="39" t="s">
        <v>201</v>
      </c>
      <c r="F20" s="39" t="s">
        <v>202</v>
      </c>
      <c r="G20" s="39" t="s">
        <v>128</v>
      </c>
      <c r="H20" s="39" t="s">
        <v>230</v>
      </c>
      <c r="I20" s="39" t="s">
        <v>205</v>
      </c>
      <c r="J20" s="39" t="s">
        <v>206</v>
      </c>
      <c r="K20" s="39" t="s">
        <v>322</v>
      </c>
      <c r="L20" s="39" t="s">
        <v>115</v>
      </c>
      <c r="M20" s="41"/>
      <c r="N20" s="39" t="s">
        <v>323</v>
      </c>
      <c r="O20" s="39" t="s">
        <v>208</v>
      </c>
      <c r="P20" s="39" t="s">
        <v>209</v>
      </c>
      <c r="Q20" s="41"/>
      <c r="R20" s="41"/>
      <c r="S20" s="39" t="s">
        <v>116</v>
      </c>
      <c r="T20" s="39" t="s">
        <v>117</v>
      </c>
      <c r="U20" s="39" t="s">
        <v>324</v>
      </c>
      <c r="V20" s="39" t="s">
        <v>211</v>
      </c>
      <c r="W20" s="39" t="s">
        <v>212</v>
      </c>
      <c r="X20" s="39" t="s">
        <v>213</v>
      </c>
      <c r="Y20" s="39" t="s">
        <v>212</v>
      </c>
      <c r="Z20" s="39" t="s">
        <v>325</v>
      </c>
      <c r="AA20" s="39" t="s">
        <v>326</v>
      </c>
      <c r="AB20" s="39" t="s">
        <v>216</v>
      </c>
      <c r="AC20" s="39" t="s">
        <v>327</v>
      </c>
      <c r="AD20" s="42">
        <v>735700</v>
      </c>
      <c r="AE20" s="42">
        <v>94700</v>
      </c>
      <c r="AF20" s="42">
        <v>51000</v>
      </c>
      <c r="AG20" s="41">
        <v>0</v>
      </c>
      <c r="AH20" s="42">
        <v>830400</v>
      </c>
      <c r="AI20" s="42">
        <v>830400</v>
      </c>
      <c r="AJ20" s="41">
        <v>0</v>
      </c>
      <c r="AK20" s="42">
        <v>830400</v>
      </c>
      <c r="AL20" s="41">
        <v>0</v>
      </c>
      <c r="AM20" s="41">
        <v>0</v>
      </c>
      <c r="AN20" s="41">
        <v>0</v>
      </c>
      <c r="AO20" s="41">
        <v>0</v>
      </c>
      <c r="AP20" s="39" t="s">
        <v>207</v>
      </c>
      <c r="AQ20" s="41"/>
      <c r="AR20" s="41">
        <v>4</v>
      </c>
      <c r="AS20" s="41">
        <v>0</v>
      </c>
      <c r="AT20" s="55">
        <v>32370</v>
      </c>
      <c r="AU20" s="55">
        <v>29430</v>
      </c>
      <c r="AV20" s="39" t="s">
        <v>328</v>
      </c>
      <c r="AW20" s="39" t="s">
        <v>320</v>
      </c>
      <c r="AX20" s="42">
        <v>2940</v>
      </c>
      <c r="AY20" s="39" t="s">
        <v>200</v>
      </c>
      <c r="AZ20" s="39" t="s">
        <v>220</v>
      </c>
    </row>
    <row r="21" spans="1:52" s="43" customFormat="1" x14ac:dyDescent="0.3">
      <c r="A21" s="44">
        <v>37</v>
      </c>
      <c r="B21" s="45" t="s">
        <v>227</v>
      </c>
      <c r="C21" s="45" t="s">
        <v>329</v>
      </c>
      <c r="D21" s="45" t="s">
        <v>200</v>
      </c>
      <c r="E21" s="45" t="s">
        <v>201</v>
      </c>
      <c r="F21" s="45" t="s">
        <v>202</v>
      </c>
      <c r="G21" s="45" t="s">
        <v>116</v>
      </c>
      <c r="H21" s="45" t="s">
        <v>230</v>
      </c>
      <c r="I21" s="45" t="s">
        <v>205</v>
      </c>
      <c r="J21" s="45" t="s">
        <v>206</v>
      </c>
      <c r="K21" s="44"/>
      <c r="L21" s="45" t="s">
        <v>109</v>
      </c>
      <c r="M21" s="44"/>
      <c r="N21" s="45" t="s">
        <v>207</v>
      </c>
      <c r="O21" s="45" t="s">
        <v>208</v>
      </c>
      <c r="P21" s="45" t="s">
        <v>209</v>
      </c>
      <c r="Q21" s="44"/>
      <c r="R21" s="44"/>
      <c r="S21" s="45" t="s">
        <v>106</v>
      </c>
      <c r="T21" s="45" t="s">
        <v>107</v>
      </c>
      <c r="U21" s="45" t="s">
        <v>310</v>
      </c>
      <c r="V21" s="45" t="s">
        <v>211</v>
      </c>
      <c r="W21" s="45" t="s">
        <v>311</v>
      </c>
      <c r="X21" s="45" t="s">
        <v>312</v>
      </c>
      <c r="Y21" s="45" t="s">
        <v>313</v>
      </c>
      <c r="Z21" s="45" t="s">
        <v>314</v>
      </c>
      <c r="AA21" s="45" t="s">
        <v>315</v>
      </c>
      <c r="AB21" s="45" t="s">
        <v>216</v>
      </c>
      <c r="AC21" s="45" t="s">
        <v>330</v>
      </c>
      <c r="AD21" s="46">
        <v>7323500</v>
      </c>
      <c r="AE21" s="46">
        <v>296700</v>
      </c>
      <c r="AF21" s="46">
        <v>159000</v>
      </c>
      <c r="AG21" s="44">
        <v>0</v>
      </c>
      <c r="AH21" s="46">
        <v>7620200</v>
      </c>
      <c r="AI21" s="46">
        <v>7620200</v>
      </c>
      <c r="AJ21" s="44">
        <v>0</v>
      </c>
      <c r="AK21" s="46">
        <v>7620200</v>
      </c>
      <c r="AL21" s="44">
        <v>0</v>
      </c>
      <c r="AM21" s="47">
        <v>7470200</v>
      </c>
      <c r="AN21" s="46">
        <v>7323500</v>
      </c>
      <c r="AO21" s="46">
        <v>296700</v>
      </c>
      <c r="AP21" s="45" t="s">
        <v>331</v>
      </c>
      <c r="AQ21" s="45" t="s">
        <v>318</v>
      </c>
      <c r="AR21" s="44">
        <v>4</v>
      </c>
      <c r="AS21" s="46">
        <v>150000</v>
      </c>
      <c r="AT21" s="57">
        <v>322234</v>
      </c>
      <c r="AU21" s="57">
        <v>292940</v>
      </c>
      <c r="AV21" s="45" t="s">
        <v>332</v>
      </c>
      <c r="AW21" s="45" t="s">
        <v>333</v>
      </c>
      <c r="AX21" s="46">
        <v>29294</v>
      </c>
      <c r="AY21" s="45" t="s">
        <v>200</v>
      </c>
      <c r="AZ21" s="45" t="s">
        <v>220</v>
      </c>
    </row>
    <row r="22" spans="1:52" s="43" customFormat="1" x14ac:dyDescent="0.3">
      <c r="A22" s="44">
        <v>38</v>
      </c>
      <c r="B22" s="45" t="s">
        <v>227</v>
      </c>
      <c r="C22" s="45" t="s">
        <v>334</v>
      </c>
      <c r="D22" s="45" t="s">
        <v>200</v>
      </c>
      <c r="E22" s="45" t="s">
        <v>201</v>
      </c>
      <c r="F22" s="45" t="s">
        <v>202</v>
      </c>
      <c r="G22" s="45" t="s">
        <v>116</v>
      </c>
      <c r="H22" s="45" t="s">
        <v>230</v>
      </c>
      <c r="I22" s="45" t="s">
        <v>205</v>
      </c>
      <c r="J22" s="45" t="s">
        <v>206</v>
      </c>
      <c r="K22" s="45" t="s">
        <v>335</v>
      </c>
      <c r="L22" s="45" t="s">
        <v>110</v>
      </c>
      <c r="M22" s="44"/>
      <c r="N22" s="45" t="s">
        <v>336</v>
      </c>
      <c r="O22" s="45" t="s">
        <v>208</v>
      </c>
      <c r="P22" s="45" t="s">
        <v>209</v>
      </c>
      <c r="Q22" s="44"/>
      <c r="R22" s="44"/>
      <c r="S22" s="45" t="s">
        <v>106</v>
      </c>
      <c r="T22" s="45" t="s">
        <v>107</v>
      </c>
      <c r="U22" s="45" t="s">
        <v>310</v>
      </c>
      <c r="V22" s="45" t="s">
        <v>211</v>
      </c>
      <c r="W22" s="45" t="s">
        <v>311</v>
      </c>
      <c r="X22" s="45" t="s">
        <v>312</v>
      </c>
      <c r="Y22" s="45" t="s">
        <v>313</v>
      </c>
      <c r="Z22" s="45" t="s">
        <v>314</v>
      </c>
      <c r="AA22" s="45" t="s">
        <v>315</v>
      </c>
      <c r="AB22" s="45" t="s">
        <v>216</v>
      </c>
      <c r="AC22" s="45" t="s">
        <v>337</v>
      </c>
      <c r="AD22" s="46">
        <v>1890000</v>
      </c>
      <c r="AE22" s="46">
        <v>296700</v>
      </c>
      <c r="AF22" s="46">
        <v>159000</v>
      </c>
      <c r="AG22" s="44">
        <v>0</v>
      </c>
      <c r="AH22" s="46">
        <v>2186700</v>
      </c>
      <c r="AI22" s="46">
        <v>2186700</v>
      </c>
      <c r="AJ22" s="44">
        <v>0</v>
      </c>
      <c r="AK22" s="46">
        <v>2186700</v>
      </c>
      <c r="AL22" s="44">
        <v>0</v>
      </c>
      <c r="AM22" s="46">
        <v>1986700</v>
      </c>
      <c r="AN22" s="46">
        <v>1890000</v>
      </c>
      <c r="AO22" s="46">
        <v>296700</v>
      </c>
      <c r="AP22" s="45" t="s">
        <v>317</v>
      </c>
      <c r="AQ22" s="45" t="s">
        <v>318</v>
      </c>
      <c r="AR22" s="44">
        <v>4</v>
      </c>
      <c r="AS22" s="46">
        <v>200000</v>
      </c>
      <c r="AT22" s="57">
        <v>83160</v>
      </c>
      <c r="AU22" s="57">
        <v>75600</v>
      </c>
      <c r="AV22" s="45" t="s">
        <v>338</v>
      </c>
      <c r="AW22" s="45" t="s">
        <v>333</v>
      </c>
      <c r="AX22" s="46">
        <v>7560</v>
      </c>
      <c r="AY22" s="45" t="s">
        <v>200</v>
      </c>
      <c r="AZ22" s="45" t="s">
        <v>220</v>
      </c>
    </row>
    <row r="23" spans="1:52" s="43" customFormat="1" x14ac:dyDescent="0.3">
      <c r="A23" s="41">
        <v>39</v>
      </c>
      <c r="B23" s="39" t="s">
        <v>227</v>
      </c>
      <c r="C23" s="39" t="s">
        <v>339</v>
      </c>
      <c r="D23" s="39" t="s">
        <v>200</v>
      </c>
      <c r="E23" s="39" t="s">
        <v>201</v>
      </c>
      <c r="F23" s="39" t="s">
        <v>202</v>
      </c>
      <c r="G23" s="39" t="s">
        <v>116</v>
      </c>
      <c r="H23" s="39" t="s">
        <v>230</v>
      </c>
      <c r="I23" s="39" t="s">
        <v>205</v>
      </c>
      <c r="J23" s="39" t="s">
        <v>206</v>
      </c>
      <c r="K23" s="41"/>
      <c r="L23" s="39" t="s">
        <v>105</v>
      </c>
      <c r="M23" s="41"/>
      <c r="N23" s="39" t="s">
        <v>207</v>
      </c>
      <c r="O23" s="39" t="s">
        <v>208</v>
      </c>
      <c r="P23" s="39" t="s">
        <v>209</v>
      </c>
      <c r="Q23" s="41"/>
      <c r="R23" s="41"/>
      <c r="S23" s="39" t="s">
        <v>106</v>
      </c>
      <c r="T23" s="39" t="s">
        <v>107</v>
      </c>
      <c r="U23" s="39" t="s">
        <v>310</v>
      </c>
      <c r="V23" s="39" t="s">
        <v>211</v>
      </c>
      <c r="W23" s="39" t="s">
        <v>311</v>
      </c>
      <c r="X23" s="39" t="s">
        <v>312</v>
      </c>
      <c r="Y23" s="39" t="s">
        <v>313</v>
      </c>
      <c r="Z23" s="39" t="s">
        <v>314</v>
      </c>
      <c r="AA23" s="39" t="s">
        <v>315</v>
      </c>
      <c r="AB23" s="39" t="s">
        <v>216</v>
      </c>
      <c r="AC23" s="39" t="s">
        <v>340</v>
      </c>
      <c r="AD23" s="42">
        <v>1890000</v>
      </c>
      <c r="AE23" s="42">
        <v>296700</v>
      </c>
      <c r="AF23" s="42">
        <v>159000</v>
      </c>
      <c r="AG23" s="41">
        <v>0</v>
      </c>
      <c r="AH23" s="42">
        <v>2186700</v>
      </c>
      <c r="AI23" s="42">
        <v>2186700</v>
      </c>
      <c r="AJ23" s="41">
        <v>0</v>
      </c>
      <c r="AK23" s="42">
        <v>2186700</v>
      </c>
      <c r="AL23" s="41">
        <v>0</v>
      </c>
      <c r="AM23" s="41">
        <v>0</v>
      </c>
      <c r="AN23" s="41">
        <v>0</v>
      </c>
      <c r="AO23" s="41">
        <v>0</v>
      </c>
      <c r="AP23" s="39" t="s">
        <v>207</v>
      </c>
      <c r="AQ23" s="41"/>
      <c r="AR23" s="41">
        <v>4</v>
      </c>
      <c r="AS23" s="41">
        <v>0</v>
      </c>
      <c r="AT23" s="55">
        <v>83160</v>
      </c>
      <c r="AU23" s="55">
        <v>75600</v>
      </c>
      <c r="AV23" s="39" t="s">
        <v>341</v>
      </c>
      <c r="AW23" s="39" t="s">
        <v>333</v>
      </c>
      <c r="AX23" s="42">
        <v>7560</v>
      </c>
      <c r="AY23" s="39" t="s">
        <v>200</v>
      </c>
      <c r="AZ23" s="39" t="s">
        <v>220</v>
      </c>
    </row>
    <row r="24" spans="1:52" s="43" customFormat="1" x14ac:dyDescent="0.3">
      <c r="A24" s="41">
        <v>40</v>
      </c>
      <c r="B24" s="39" t="s">
        <v>258</v>
      </c>
      <c r="C24" s="39" t="s">
        <v>342</v>
      </c>
      <c r="D24" s="39" t="s">
        <v>200</v>
      </c>
      <c r="E24" s="39" t="s">
        <v>201</v>
      </c>
      <c r="F24" s="39" t="s">
        <v>202</v>
      </c>
      <c r="G24" s="39" t="s">
        <v>116</v>
      </c>
      <c r="H24" s="39" t="s">
        <v>261</v>
      </c>
      <c r="I24" s="39" t="s">
        <v>205</v>
      </c>
      <c r="J24" s="39" t="s">
        <v>206</v>
      </c>
      <c r="K24" s="41"/>
      <c r="L24" s="39" t="s">
        <v>101</v>
      </c>
      <c r="M24" s="41"/>
      <c r="N24" s="39" t="s">
        <v>207</v>
      </c>
      <c r="O24" s="39" t="s">
        <v>208</v>
      </c>
      <c r="P24" s="39" t="s">
        <v>209</v>
      </c>
      <c r="Q24" s="41"/>
      <c r="R24" s="41"/>
      <c r="S24" s="39" t="s">
        <v>102</v>
      </c>
      <c r="T24" s="39" t="s">
        <v>103</v>
      </c>
      <c r="U24" s="39" t="s">
        <v>262</v>
      </c>
      <c r="V24" s="39" t="s">
        <v>211</v>
      </c>
      <c r="W24" s="39" t="s">
        <v>212</v>
      </c>
      <c r="X24" s="39" t="s">
        <v>213</v>
      </c>
      <c r="Y24" s="39" t="s">
        <v>212</v>
      </c>
      <c r="Z24" s="39" t="s">
        <v>263</v>
      </c>
      <c r="AA24" s="39" t="s">
        <v>264</v>
      </c>
      <c r="AB24" s="39" t="s">
        <v>216</v>
      </c>
      <c r="AC24" s="41">
        <v>17602804</v>
      </c>
      <c r="AD24" s="42">
        <v>192300</v>
      </c>
      <c r="AE24" s="41">
        <v>300</v>
      </c>
      <c r="AF24" s="41">
        <v>200</v>
      </c>
      <c r="AG24" s="41">
        <v>0</v>
      </c>
      <c r="AH24" s="42">
        <v>192600</v>
      </c>
      <c r="AI24" s="41">
        <v>0</v>
      </c>
      <c r="AJ24" s="42">
        <v>192600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39" t="s">
        <v>207</v>
      </c>
      <c r="AQ24" s="41"/>
      <c r="AR24" s="41">
        <v>4</v>
      </c>
      <c r="AS24" s="41">
        <v>0</v>
      </c>
      <c r="AT24" s="55">
        <v>8461</v>
      </c>
      <c r="AU24" s="55">
        <v>7690</v>
      </c>
      <c r="AV24" s="39" t="s">
        <v>343</v>
      </c>
      <c r="AW24" s="39" t="s">
        <v>333</v>
      </c>
      <c r="AX24" s="41">
        <v>771</v>
      </c>
      <c r="AY24" s="39" t="s">
        <v>344</v>
      </c>
      <c r="AZ24" s="39" t="s">
        <v>220</v>
      </c>
    </row>
    <row r="25" spans="1:52" s="43" customFormat="1" ht="15.75" customHeight="1" x14ac:dyDescent="0.3">
      <c r="A25" s="41">
        <v>41</v>
      </c>
      <c r="B25" s="39" t="s">
        <v>258</v>
      </c>
      <c r="C25" s="39" t="s">
        <v>345</v>
      </c>
      <c r="D25" s="39" t="s">
        <v>200</v>
      </c>
      <c r="E25" s="39" t="s">
        <v>201</v>
      </c>
      <c r="F25" s="39" t="s">
        <v>202</v>
      </c>
      <c r="G25" s="39" t="s">
        <v>116</v>
      </c>
      <c r="H25" s="39" t="s">
        <v>261</v>
      </c>
      <c r="I25" s="39" t="s">
        <v>205</v>
      </c>
      <c r="J25" s="39" t="s">
        <v>206</v>
      </c>
      <c r="K25" s="41"/>
      <c r="L25" s="39" t="s">
        <v>105</v>
      </c>
      <c r="M25" s="41"/>
      <c r="N25" s="39" t="s">
        <v>207</v>
      </c>
      <c r="O25" s="39" t="s">
        <v>208</v>
      </c>
      <c r="P25" s="39" t="s">
        <v>209</v>
      </c>
      <c r="Q25" s="41"/>
      <c r="R25" s="41"/>
      <c r="S25" s="39" t="s">
        <v>102</v>
      </c>
      <c r="T25" s="39" t="s">
        <v>103</v>
      </c>
      <c r="U25" s="39" t="s">
        <v>262</v>
      </c>
      <c r="V25" s="39" t="s">
        <v>211</v>
      </c>
      <c r="W25" s="39" t="s">
        <v>212</v>
      </c>
      <c r="X25" s="39" t="s">
        <v>213</v>
      </c>
      <c r="Y25" s="39" t="s">
        <v>212</v>
      </c>
      <c r="Z25" s="39" t="s">
        <v>263</v>
      </c>
      <c r="AA25" s="39" t="s">
        <v>264</v>
      </c>
      <c r="AB25" s="39" t="s">
        <v>216</v>
      </c>
      <c r="AC25" s="41">
        <v>18602804</v>
      </c>
      <c r="AD25" s="42">
        <v>192300</v>
      </c>
      <c r="AE25" s="41">
        <v>300</v>
      </c>
      <c r="AF25" s="41">
        <v>200</v>
      </c>
      <c r="AG25" s="41">
        <v>0</v>
      </c>
      <c r="AH25" s="42">
        <v>192600</v>
      </c>
      <c r="AI25" s="41">
        <v>0</v>
      </c>
      <c r="AJ25" s="42">
        <v>192600</v>
      </c>
      <c r="AK25" s="41">
        <v>0</v>
      </c>
      <c r="AL25" s="41">
        <v>0</v>
      </c>
      <c r="AM25" s="41">
        <v>0</v>
      </c>
      <c r="AN25" s="41">
        <v>0</v>
      </c>
      <c r="AO25" s="41">
        <v>0</v>
      </c>
      <c r="AP25" s="39" t="s">
        <v>207</v>
      </c>
      <c r="AQ25" s="41"/>
      <c r="AR25" s="41">
        <v>4</v>
      </c>
      <c r="AS25" s="41">
        <v>0</v>
      </c>
      <c r="AT25" s="55">
        <v>8461</v>
      </c>
      <c r="AU25" s="55">
        <v>7690</v>
      </c>
      <c r="AV25" s="39" t="s">
        <v>346</v>
      </c>
      <c r="AW25" s="39" t="s">
        <v>333</v>
      </c>
      <c r="AX25" s="41">
        <v>771</v>
      </c>
      <c r="AY25" s="39" t="s">
        <v>347</v>
      </c>
      <c r="AZ25" s="39" t="s">
        <v>220</v>
      </c>
    </row>
    <row r="26" spans="1:52" s="43" customFormat="1" x14ac:dyDescent="0.3">
      <c r="A26" s="41">
        <v>42</v>
      </c>
      <c r="B26" s="39" t="s">
        <v>227</v>
      </c>
      <c r="C26" s="39" t="s">
        <v>348</v>
      </c>
      <c r="D26" s="39" t="s">
        <v>200</v>
      </c>
      <c r="E26" s="39" t="s">
        <v>201</v>
      </c>
      <c r="F26" s="39" t="s">
        <v>202</v>
      </c>
      <c r="G26" s="39" t="s">
        <v>126</v>
      </c>
      <c r="H26" s="39" t="s">
        <v>230</v>
      </c>
      <c r="I26" s="39" t="s">
        <v>205</v>
      </c>
      <c r="J26" s="39" t="s">
        <v>206</v>
      </c>
      <c r="K26" s="39" t="s">
        <v>349</v>
      </c>
      <c r="L26" s="39" t="s">
        <v>99</v>
      </c>
      <c r="M26" s="41"/>
      <c r="N26" s="39" t="s">
        <v>350</v>
      </c>
      <c r="O26" s="39" t="s">
        <v>208</v>
      </c>
      <c r="P26" s="39" t="s">
        <v>209</v>
      </c>
      <c r="Q26" s="41"/>
      <c r="R26" s="41"/>
      <c r="S26" s="39" t="s">
        <v>96</v>
      </c>
      <c r="T26" s="39" t="s">
        <v>97</v>
      </c>
      <c r="U26" s="39" t="s">
        <v>351</v>
      </c>
      <c r="V26" s="39" t="s">
        <v>211</v>
      </c>
      <c r="W26" s="39" t="s">
        <v>352</v>
      </c>
      <c r="X26" s="39" t="s">
        <v>353</v>
      </c>
      <c r="Y26" s="39" t="s">
        <v>354</v>
      </c>
      <c r="Z26" s="39" t="s">
        <v>355</v>
      </c>
      <c r="AA26" s="39" t="s">
        <v>356</v>
      </c>
      <c r="AB26" s="39" t="s">
        <v>216</v>
      </c>
      <c r="AC26" s="39" t="s">
        <v>357</v>
      </c>
      <c r="AD26" s="42">
        <v>598300</v>
      </c>
      <c r="AE26" s="42">
        <v>161800</v>
      </c>
      <c r="AF26" s="42">
        <v>114000</v>
      </c>
      <c r="AG26" s="41">
        <v>0</v>
      </c>
      <c r="AH26" s="42">
        <v>760100</v>
      </c>
      <c r="AI26" s="42">
        <v>643800</v>
      </c>
      <c r="AJ26" s="48">
        <v>116300</v>
      </c>
      <c r="AK26" s="42">
        <v>643800</v>
      </c>
      <c r="AL26" s="41">
        <v>0</v>
      </c>
      <c r="AM26" s="41">
        <v>0</v>
      </c>
      <c r="AN26" s="41">
        <v>0</v>
      </c>
      <c r="AO26" s="41">
        <v>0</v>
      </c>
      <c r="AP26" s="39" t="s">
        <v>207</v>
      </c>
      <c r="AQ26" s="41"/>
      <c r="AR26" s="41">
        <v>4</v>
      </c>
      <c r="AS26" s="41">
        <v>0</v>
      </c>
      <c r="AT26" s="55">
        <v>24380</v>
      </c>
      <c r="AU26" s="55">
        <v>22160</v>
      </c>
      <c r="AV26" s="39" t="s">
        <v>358</v>
      </c>
      <c r="AW26" s="39" t="s">
        <v>359</v>
      </c>
      <c r="AX26" s="42">
        <v>2220</v>
      </c>
      <c r="AY26" s="39" t="s">
        <v>200</v>
      </c>
      <c r="AZ26" s="39" t="s">
        <v>220</v>
      </c>
    </row>
    <row r="27" spans="1:52" s="43" customFormat="1" x14ac:dyDescent="0.3">
      <c r="A27" s="41">
        <v>43</v>
      </c>
      <c r="B27" s="39" t="s">
        <v>227</v>
      </c>
      <c r="C27" s="39" t="s">
        <v>360</v>
      </c>
      <c r="D27" s="39" t="s">
        <v>200</v>
      </c>
      <c r="E27" s="39" t="s">
        <v>201</v>
      </c>
      <c r="F27" s="39" t="s">
        <v>202</v>
      </c>
      <c r="G27" s="39" t="s">
        <v>126</v>
      </c>
      <c r="H27" s="39" t="s">
        <v>230</v>
      </c>
      <c r="I27" s="39" t="s">
        <v>205</v>
      </c>
      <c r="J27" s="39" t="s">
        <v>206</v>
      </c>
      <c r="K27" s="39" t="s">
        <v>361</v>
      </c>
      <c r="L27" s="39" t="s">
        <v>100</v>
      </c>
      <c r="M27" s="41"/>
      <c r="N27" s="39" t="s">
        <v>362</v>
      </c>
      <c r="O27" s="39" t="s">
        <v>208</v>
      </c>
      <c r="P27" s="39" t="s">
        <v>209</v>
      </c>
      <c r="Q27" s="41"/>
      <c r="R27" s="41"/>
      <c r="S27" s="39" t="s">
        <v>96</v>
      </c>
      <c r="T27" s="39" t="s">
        <v>97</v>
      </c>
      <c r="U27" s="39" t="s">
        <v>351</v>
      </c>
      <c r="V27" s="39" t="s">
        <v>211</v>
      </c>
      <c r="W27" s="39" t="s">
        <v>352</v>
      </c>
      <c r="X27" s="39" t="s">
        <v>353</v>
      </c>
      <c r="Y27" s="39" t="s">
        <v>354</v>
      </c>
      <c r="Z27" s="39" t="s">
        <v>355</v>
      </c>
      <c r="AA27" s="39" t="s">
        <v>356</v>
      </c>
      <c r="AB27" s="39" t="s">
        <v>216</v>
      </c>
      <c r="AC27" s="39" t="s">
        <v>363</v>
      </c>
      <c r="AD27" s="42">
        <v>598300</v>
      </c>
      <c r="AE27" s="42">
        <v>161800</v>
      </c>
      <c r="AF27" s="42">
        <v>114000</v>
      </c>
      <c r="AG27" s="41">
        <v>0</v>
      </c>
      <c r="AH27" s="42">
        <v>760100</v>
      </c>
      <c r="AI27" s="42">
        <v>643800</v>
      </c>
      <c r="AJ27" s="48">
        <v>116300</v>
      </c>
      <c r="AK27" s="42">
        <v>643800</v>
      </c>
      <c r="AL27" s="41">
        <v>0</v>
      </c>
      <c r="AM27" s="41">
        <v>0</v>
      </c>
      <c r="AN27" s="41">
        <v>0</v>
      </c>
      <c r="AO27" s="41">
        <v>0</v>
      </c>
      <c r="AP27" s="39" t="s">
        <v>207</v>
      </c>
      <c r="AQ27" s="41"/>
      <c r="AR27" s="41">
        <v>4</v>
      </c>
      <c r="AS27" s="41">
        <v>0</v>
      </c>
      <c r="AT27" s="55">
        <v>24380</v>
      </c>
      <c r="AU27" s="55">
        <v>22160</v>
      </c>
      <c r="AV27" s="39" t="s">
        <v>364</v>
      </c>
      <c r="AW27" s="39" t="s">
        <v>359</v>
      </c>
      <c r="AX27" s="42">
        <v>2220</v>
      </c>
      <c r="AY27" s="39" t="s">
        <v>200</v>
      </c>
      <c r="AZ27" s="39" t="s">
        <v>220</v>
      </c>
    </row>
    <row r="28" spans="1:52" s="43" customFormat="1" x14ac:dyDescent="0.3">
      <c r="A28" s="41">
        <v>44</v>
      </c>
      <c r="B28" s="39" t="s">
        <v>227</v>
      </c>
      <c r="C28" s="39" t="s">
        <v>365</v>
      </c>
      <c r="D28" s="39" t="s">
        <v>200</v>
      </c>
      <c r="E28" s="39" t="s">
        <v>201</v>
      </c>
      <c r="F28" s="39" t="s">
        <v>202</v>
      </c>
      <c r="G28" s="39" t="s">
        <v>126</v>
      </c>
      <c r="H28" s="39" t="s">
        <v>230</v>
      </c>
      <c r="I28" s="39" t="s">
        <v>205</v>
      </c>
      <c r="J28" s="39" t="s">
        <v>206</v>
      </c>
      <c r="K28" s="39" t="s">
        <v>366</v>
      </c>
      <c r="L28" s="39" t="s">
        <v>95</v>
      </c>
      <c r="M28" s="41"/>
      <c r="N28" s="39" t="s">
        <v>367</v>
      </c>
      <c r="O28" s="39" t="s">
        <v>208</v>
      </c>
      <c r="P28" s="39" t="s">
        <v>209</v>
      </c>
      <c r="Q28" s="41"/>
      <c r="R28" s="41"/>
      <c r="S28" s="39" t="s">
        <v>96</v>
      </c>
      <c r="T28" s="39" t="s">
        <v>97</v>
      </c>
      <c r="U28" s="39" t="s">
        <v>351</v>
      </c>
      <c r="V28" s="39" t="s">
        <v>211</v>
      </c>
      <c r="W28" s="39" t="s">
        <v>352</v>
      </c>
      <c r="X28" s="39" t="s">
        <v>353</v>
      </c>
      <c r="Y28" s="39" t="s">
        <v>354</v>
      </c>
      <c r="Z28" s="39" t="s">
        <v>355</v>
      </c>
      <c r="AA28" s="39" t="s">
        <v>356</v>
      </c>
      <c r="AB28" s="39" t="s">
        <v>216</v>
      </c>
      <c r="AC28" s="39" t="s">
        <v>368</v>
      </c>
      <c r="AD28" s="42">
        <v>598300</v>
      </c>
      <c r="AE28" s="42">
        <v>161800</v>
      </c>
      <c r="AF28" s="42">
        <v>114000</v>
      </c>
      <c r="AG28" s="41">
        <v>0</v>
      </c>
      <c r="AH28" s="42">
        <v>760100</v>
      </c>
      <c r="AI28" s="42">
        <v>643800</v>
      </c>
      <c r="AJ28" s="48">
        <v>116300</v>
      </c>
      <c r="AK28" s="42">
        <v>643800</v>
      </c>
      <c r="AL28" s="41">
        <v>0</v>
      </c>
      <c r="AM28" s="41">
        <v>0</v>
      </c>
      <c r="AN28" s="41">
        <v>0</v>
      </c>
      <c r="AO28" s="41">
        <v>0</v>
      </c>
      <c r="AP28" s="39" t="s">
        <v>207</v>
      </c>
      <c r="AQ28" s="41"/>
      <c r="AR28" s="41">
        <v>4</v>
      </c>
      <c r="AS28" s="41">
        <v>0</v>
      </c>
      <c r="AT28" s="55">
        <v>24380</v>
      </c>
      <c r="AU28" s="55">
        <v>22160</v>
      </c>
      <c r="AV28" s="39" t="s">
        <v>369</v>
      </c>
      <c r="AW28" s="39" t="s">
        <v>359</v>
      </c>
      <c r="AX28" s="42">
        <v>2220</v>
      </c>
      <c r="AY28" s="39" t="s">
        <v>200</v>
      </c>
      <c r="AZ28" s="39" t="s">
        <v>220</v>
      </c>
    </row>
    <row r="29" spans="1:52" x14ac:dyDescent="0.3">
      <c r="A29" s="37">
        <v>48</v>
      </c>
      <c r="B29" s="38" t="s">
        <v>227</v>
      </c>
      <c r="C29" s="38" t="s">
        <v>370</v>
      </c>
      <c r="D29" s="38" t="s">
        <v>200</v>
      </c>
      <c r="E29" s="38" t="s">
        <v>201</v>
      </c>
      <c r="F29" s="38" t="s">
        <v>202</v>
      </c>
      <c r="G29" s="38" t="s">
        <v>126</v>
      </c>
      <c r="H29" s="38" t="s">
        <v>230</v>
      </c>
      <c r="I29" s="38" t="s">
        <v>205</v>
      </c>
      <c r="J29" s="38" t="s">
        <v>206</v>
      </c>
      <c r="K29" s="38" t="s">
        <v>322</v>
      </c>
      <c r="L29" s="38" t="s">
        <v>115</v>
      </c>
      <c r="M29" s="37"/>
      <c r="N29" s="38" t="s">
        <v>323</v>
      </c>
      <c r="O29" s="38" t="s">
        <v>208</v>
      </c>
      <c r="P29" s="38" t="s">
        <v>209</v>
      </c>
      <c r="Q29" s="37"/>
      <c r="R29" s="37"/>
      <c r="S29" s="38" t="s">
        <v>371</v>
      </c>
      <c r="T29" s="38" t="s">
        <v>372</v>
      </c>
      <c r="U29" s="38" t="s">
        <v>373</v>
      </c>
      <c r="V29" s="38" t="s">
        <v>211</v>
      </c>
      <c r="W29" s="38" t="s">
        <v>212</v>
      </c>
      <c r="X29" s="38" t="s">
        <v>213</v>
      </c>
      <c r="Y29" s="38" t="s">
        <v>212</v>
      </c>
      <c r="Z29" s="38" t="s">
        <v>325</v>
      </c>
      <c r="AA29" s="38" t="s">
        <v>326</v>
      </c>
      <c r="AB29" s="37"/>
      <c r="AC29" s="37"/>
      <c r="AD29" s="37">
        <v>0</v>
      </c>
      <c r="AE29" s="37">
        <v>0</v>
      </c>
      <c r="AF29" s="37">
        <v>0</v>
      </c>
      <c r="AG29" s="37">
        <v>0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8" t="s">
        <v>207</v>
      </c>
      <c r="AQ29" s="37"/>
      <c r="AR29" s="37">
        <v>0</v>
      </c>
      <c r="AS29" s="37">
        <v>0</v>
      </c>
      <c r="AT29" s="58">
        <v>0</v>
      </c>
      <c r="AU29" s="58">
        <v>0</v>
      </c>
      <c r="AV29" s="37"/>
      <c r="AW29" s="37"/>
      <c r="AX29" s="37">
        <v>0</v>
      </c>
      <c r="AY29" s="38" t="s">
        <v>374</v>
      </c>
      <c r="AZ29" s="38" t="s">
        <v>220</v>
      </c>
    </row>
    <row r="30" spans="1:52" s="43" customFormat="1" x14ac:dyDescent="0.3">
      <c r="A30" s="41">
        <v>56</v>
      </c>
      <c r="B30" s="39" t="s">
        <v>227</v>
      </c>
      <c r="C30" s="39" t="s">
        <v>375</v>
      </c>
      <c r="D30" s="39" t="s">
        <v>200</v>
      </c>
      <c r="E30" s="39" t="s">
        <v>201</v>
      </c>
      <c r="F30" s="39" t="s">
        <v>202</v>
      </c>
      <c r="G30" s="39" t="s">
        <v>376</v>
      </c>
      <c r="H30" s="39" t="s">
        <v>230</v>
      </c>
      <c r="I30" s="39" t="s">
        <v>205</v>
      </c>
      <c r="J30" s="39" t="s">
        <v>206</v>
      </c>
      <c r="K30" s="39" t="s">
        <v>377</v>
      </c>
      <c r="L30" s="39" t="s">
        <v>82</v>
      </c>
      <c r="M30" s="41"/>
      <c r="N30" s="39" t="s">
        <v>378</v>
      </c>
      <c r="O30" s="39" t="s">
        <v>208</v>
      </c>
      <c r="P30" s="39" t="s">
        <v>209</v>
      </c>
      <c r="Q30" s="41"/>
      <c r="R30" s="41"/>
      <c r="S30" s="39" t="s">
        <v>83</v>
      </c>
      <c r="T30" s="39" t="s">
        <v>84</v>
      </c>
      <c r="U30" s="39" t="s">
        <v>379</v>
      </c>
      <c r="V30" s="39" t="s">
        <v>211</v>
      </c>
      <c r="W30" s="39" t="s">
        <v>212</v>
      </c>
      <c r="X30" s="39" t="s">
        <v>213</v>
      </c>
      <c r="Y30" s="39" t="s">
        <v>212</v>
      </c>
      <c r="Z30" s="39" t="s">
        <v>263</v>
      </c>
      <c r="AA30" s="39" t="s">
        <v>264</v>
      </c>
      <c r="AB30" s="39" t="s">
        <v>216</v>
      </c>
      <c r="AC30" s="39" t="s">
        <v>380</v>
      </c>
      <c r="AD30" s="42">
        <v>1006900</v>
      </c>
      <c r="AE30" s="42">
        <v>199900</v>
      </c>
      <c r="AF30" s="42">
        <v>156000</v>
      </c>
      <c r="AG30" s="41">
        <v>0</v>
      </c>
      <c r="AH30" s="42">
        <v>1206800</v>
      </c>
      <c r="AI30" s="42">
        <v>1206800</v>
      </c>
      <c r="AJ30" s="41">
        <v>0</v>
      </c>
      <c r="AK30" s="42">
        <v>1206800</v>
      </c>
      <c r="AL30" s="41">
        <v>0</v>
      </c>
      <c r="AM30" s="41">
        <v>0</v>
      </c>
      <c r="AN30" s="41">
        <v>0</v>
      </c>
      <c r="AO30" s="41">
        <v>0</v>
      </c>
      <c r="AP30" s="39" t="s">
        <v>207</v>
      </c>
      <c r="AQ30" s="41"/>
      <c r="AR30" s="41">
        <v>4</v>
      </c>
      <c r="AS30" s="41">
        <v>0</v>
      </c>
      <c r="AT30" s="55">
        <v>44303</v>
      </c>
      <c r="AU30" s="55">
        <v>40280</v>
      </c>
      <c r="AV30" s="39" t="s">
        <v>381</v>
      </c>
      <c r="AW30" s="39" t="s">
        <v>382</v>
      </c>
      <c r="AX30" s="42">
        <v>4023</v>
      </c>
      <c r="AY30" s="39" t="s">
        <v>200</v>
      </c>
      <c r="AZ30" s="39" t="s">
        <v>220</v>
      </c>
    </row>
    <row r="31" spans="1:52" x14ac:dyDescent="0.3">
      <c r="A31" s="18"/>
      <c r="B31" s="34"/>
      <c r="C31" s="34"/>
      <c r="D31" s="34"/>
      <c r="E31" s="34"/>
      <c r="F31" s="34"/>
      <c r="G31" s="34"/>
      <c r="H31" s="34"/>
      <c r="I31" s="34"/>
      <c r="J31" s="34"/>
      <c r="K31" s="18"/>
      <c r="L31" s="34"/>
      <c r="M31" s="18"/>
      <c r="N31" s="34"/>
      <c r="O31" s="34"/>
      <c r="P31" s="34"/>
      <c r="Q31" s="18"/>
      <c r="R31" s="18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3"/>
      <c r="AE31" s="33"/>
      <c r="AF31" s="33"/>
      <c r="AG31" s="18"/>
      <c r="AH31" s="33"/>
      <c r="AI31" s="33"/>
      <c r="AJ31" s="59"/>
      <c r="AK31" s="59"/>
      <c r="AL31" s="59"/>
      <c r="AM31" s="18"/>
      <c r="AN31" s="18"/>
      <c r="AO31" s="18"/>
      <c r="AP31" s="34"/>
      <c r="AQ31" s="18"/>
      <c r="AR31" s="18"/>
      <c r="AS31" s="18"/>
      <c r="AT31" s="59"/>
      <c r="AU31" s="33"/>
      <c r="AV31" s="34"/>
      <c r="AW31" s="34"/>
      <c r="AX31" s="33"/>
      <c r="AY31" s="34"/>
      <c r="AZ31" s="34"/>
    </row>
    <row r="32" spans="1:52" x14ac:dyDescent="0.3"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T32" s="59"/>
      <c r="AU32" s="59"/>
      <c r="AX32" s="59"/>
    </row>
    <row r="33" spans="1:52" x14ac:dyDescent="0.3">
      <c r="AD33" s="59"/>
      <c r="AE33" s="59"/>
      <c r="AF33" s="59"/>
      <c r="AG33" s="59"/>
      <c r="AH33" s="59"/>
      <c r="AI33" s="59"/>
      <c r="AJ33" s="18"/>
      <c r="AK33" s="14"/>
      <c r="AL33" s="59"/>
      <c r="AM33" s="59"/>
      <c r="AT33" s="59"/>
      <c r="AU33" s="59"/>
      <c r="AX33" s="59"/>
    </row>
    <row r="34" spans="1:52" x14ac:dyDescent="0.3">
      <c r="AC34" s="60"/>
      <c r="AD34" s="59"/>
      <c r="AE34" s="59"/>
      <c r="AF34" s="59"/>
      <c r="AG34" s="59"/>
      <c r="AH34" s="59"/>
      <c r="AI34" s="59"/>
      <c r="AJ34" s="18" t="s">
        <v>383</v>
      </c>
      <c r="AK34" s="14">
        <f>SUM(AH:AH)-SUM(AJ26:AJ28)</f>
        <v>34650500</v>
      </c>
      <c r="AL34" s="59"/>
      <c r="AM34" s="59"/>
      <c r="AT34" s="59"/>
      <c r="AU34" s="59"/>
      <c r="AX34" s="59"/>
    </row>
    <row r="35" spans="1:52" x14ac:dyDescent="0.3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4"/>
      <c r="L35" s="23"/>
      <c r="M35" s="24"/>
      <c r="N35" s="23"/>
      <c r="O35" s="23"/>
      <c r="P35" s="23"/>
      <c r="Q35" s="24"/>
      <c r="R35" s="24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5"/>
      <c r="AE35" s="25"/>
      <c r="AF35" s="25"/>
      <c r="AG35" s="24"/>
      <c r="AH35" s="25"/>
      <c r="AI35" s="25"/>
      <c r="AJ35" s="18" t="s">
        <v>384</v>
      </c>
      <c r="AK35" s="14">
        <f>-(AM19+AM22)</f>
        <v>-9456700</v>
      </c>
      <c r="AL35" s="24"/>
      <c r="AM35" s="24"/>
      <c r="AN35" s="24"/>
      <c r="AO35" s="24"/>
      <c r="AP35" s="23"/>
      <c r="AQ35" s="24"/>
      <c r="AR35" s="24"/>
      <c r="AS35" s="24"/>
      <c r="AT35" s="59"/>
      <c r="AU35" s="25"/>
      <c r="AV35" s="23"/>
      <c r="AW35" s="23"/>
      <c r="AX35" s="24"/>
      <c r="AY35" s="23"/>
      <c r="AZ35" s="23"/>
    </row>
    <row r="36" spans="1:52" x14ac:dyDescent="0.3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4"/>
      <c r="N36" s="23"/>
      <c r="O36" s="23"/>
      <c r="P36" s="23"/>
      <c r="Q36" s="24"/>
      <c r="R36" s="24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5"/>
      <c r="AE36" s="25"/>
      <c r="AF36" s="25"/>
      <c r="AG36" s="24"/>
      <c r="AH36" s="25"/>
      <c r="AI36" s="25"/>
      <c r="AJ36" s="18" t="s">
        <v>193</v>
      </c>
      <c r="AK36" s="14">
        <f>SUM(AT:AT)</f>
        <v>1392042</v>
      </c>
      <c r="AL36" s="24"/>
      <c r="AM36" s="24"/>
      <c r="AN36" s="24"/>
      <c r="AO36" s="24"/>
      <c r="AP36" s="23"/>
      <c r="AQ36" s="24"/>
      <c r="AR36" s="24"/>
      <c r="AS36" s="24"/>
      <c r="AT36" s="59"/>
      <c r="AU36" s="25"/>
      <c r="AV36" s="26"/>
      <c r="AW36" s="24"/>
      <c r="AX36" s="25"/>
      <c r="AY36" s="23"/>
      <c r="AZ36" s="23"/>
    </row>
    <row r="37" spans="1:52" x14ac:dyDescent="0.3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4"/>
      <c r="N37" s="23"/>
      <c r="O37" s="23"/>
      <c r="P37" s="23"/>
      <c r="Q37" s="24"/>
      <c r="R37" s="24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5"/>
      <c r="AE37" s="25"/>
      <c r="AF37" s="25"/>
      <c r="AG37" s="24"/>
      <c r="AH37" s="25"/>
      <c r="AI37" s="25"/>
      <c r="AJ37" s="24" t="s">
        <v>385</v>
      </c>
      <c r="AK37" s="14">
        <f>-(AT19+AT21+AT22)</f>
        <v>-727628</v>
      </c>
      <c r="AL37" s="24"/>
      <c r="AM37" s="24"/>
      <c r="AN37" s="24"/>
      <c r="AO37" s="24"/>
      <c r="AP37" s="23"/>
      <c r="AQ37" s="24"/>
      <c r="AR37" s="24"/>
      <c r="AS37" s="24"/>
      <c r="AT37" s="59"/>
      <c r="AU37" s="25"/>
      <c r="AV37" s="23"/>
      <c r="AW37" s="23"/>
      <c r="AX37" s="25"/>
      <c r="AY37" s="23"/>
      <c r="AZ37" s="23"/>
    </row>
    <row r="38" spans="1:52" x14ac:dyDescent="0.3">
      <c r="A38" s="2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4"/>
      <c r="N38" s="23"/>
      <c r="O38" s="23"/>
      <c r="P38" s="23"/>
      <c r="Q38" s="24"/>
      <c r="R38" s="24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5"/>
      <c r="AE38" s="25"/>
      <c r="AF38" s="25"/>
      <c r="AG38" s="24"/>
      <c r="AH38" s="25"/>
      <c r="AI38" s="25"/>
      <c r="AJ38" s="24"/>
      <c r="AK38" s="24"/>
      <c r="AL38" s="25"/>
      <c r="AM38" s="24"/>
      <c r="AN38" s="24"/>
      <c r="AO38" s="24"/>
      <c r="AP38" s="23"/>
      <c r="AQ38" s="24"/>
      <c r="AR38" s="24"/>
      <c r="AS38" s="24"/>
      <c r="AT38" s="59"/>
      <c r="AU38" s="25"/>
      <c r="AV38" s="23"/>
      <c r="AW38" s="23"/>
      <c r="AX38" s="25"/>
      <c r="AY38" s="23"/>
      <c r="AZ38" s="23"/>
    </row>
    <row r="39" spans="1:52" x14ac:dyDescent="0.3">
      <c r="A39" s="24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4"/>
      <c r="N39" s="23"/>
      <c r="O39" s="23"/>
      <c r="P39" s="23"/>
      <c r="Q39" s="24"/>
      <c r="R39" s="24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5"/>
      <c r="AE39" s="25"/>
      <c r="AF39" s="25"/>
      <c r="AG39" s="24"/>
      <c r="AH39" s="25"/>
      <c r="AI39" s="25"/>
      <c r="AJ39" s="15" t="s">
        <v>386</v>
      </c>
      <c r="AK39" s="16">
        <f>SUM(AK34:AK37)</f>
        <v>25858214</v>
      </c>
      <c r="AL39" s="25"/>
      <c r="AM39" s="24"/>
      <c r="AN39" s="24"/>
      <c r="AO39" s="24"/>
      <c r="AP39" s="23"/>
      <c r="AQ39" s="24"/>
      <c r="AR39" s="24"/>
      <c r="AS39" s="24"/>
      <c r="AT39" s="59"/>
      <c r="AU39" s="25"/>
      <c r="AV39" s="23"/>
      <c r="AW39" s="23"/>
      <c r="AX39" s="25"/>
      <c r="AY39" s="23"/>
      <c r="AZ39" s="23"/>
    </row>
    <row r="40" spans="1:52" x14ac:dyDescent="0.3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4"/>
      <c r="N40" s="23"/>
      <c r="O40" s="23"/>
      <c r="P40" s="23"/>
      <c r="Q40" s="24"/>
      <c r="R40" s="24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5"/>
      <c r="AE40" s="25"/>
      <c r="AF40" s="25"/>
      <c r="AG40" s="24"/>
      <c r="AH40" s="25"/>
      <c r="AI40" s="25"/>
      <c r="AJ40" s="24"/>
      <c r="AK40" s="59"/>
      <c r="AL40" s="25"/>
      <c r="AM40" s="24"/>
      <c r="AN40" s="24"/>
      <c r="AO40" s="24"/>
      <c r="AP40" s="23"/>
      <c r="AQ40" s="24"/>
      <c r="AR40" s="24"/>
      <c r="AS40" s="24"/>
      <c r="AT40" s="59"/>
      <c r="AU40" s="25"/>
      <c r="AV40" s="23"/>
      <c r="AW40" s="23"/>
      <c r="AX40" s="25"/>
      <c r="AY40" s="23"/>
      <c r="AZ40" s="23"/>
    </row>
    <row r="41" spans="1:52" x14ac:dyDescent="0.3">
      <c r="A41" s="24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4"/>
      <c r="N41" s="23"/>
      <c r="O41" s="23"/>
      <c r="P41" s="23"/>
      <c r="Q41" s="24"/>
      <c r="R41" s="24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5"/>
      <c r="AE41" s="25"/>
      <c r="AF41" s="25"/>
      <c r="AG41" s="24"/>
      <c r="AH41" s="25"/>
      <c r="AI41" s="25"/>
      <c r="AJ41" s="7" t="s">
        <v>387</v>
      </c>
      <c r="AK41" s="59"/>
      <c r="AL41" s="25"/>
      <c r="AM41" s="24"/>
      <c r="AN41" s="24"/>
      <c r="AO41" s="24"/>
      <c r="AP41" s="23"/>
      <c r="AQ41" s="24"/>
      <c r="AR41" s="24"/>
      <c r="AS41" s="24"/>
      <c r="AT41" s="59"/>
      <c r="AU41" s="25"/>
      <c r="AV41" s="23"/>
      <c r="AW41" s="23"/>
      <c r="AX41" s="25"/>
      <c r="AY41" s="23"/>
      <c r="AZ41" s="23"/>
    </row>
    <row r="42" spans="1:52" x14ac:dyDescent="0.3">
      <c r="A42" s="24"/>
      <c r="B42" s="23"/>
      <c r="C42" s="23"/>
      <c r="D42" s="23"/>
      <c r="E42" s="23"/>
      <c r="F42" s="23"/>
      <c r="G42" s="23"/>
      <c r="H42" s="23"/>
      <c r="I42" s="23"/>
      <c r="J42" s="23"/>
      <c r="K42" s="24"/>
      <c r="L42" s="23"/>
      <c r="M42" s="24"/>
      <c r="N42" s="23"/>
      <c r="O42" s="23"/>
      <c r="P42" s="23"/>
      <c r="Q42" s="24"/>
      <c r="R42" s="24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5"/>
      <c r="AE42" s="25"/>
      <c r="AF42" s="25"/>
      <c r="AG42" s="24"/>
      <c r="AH42" s="25"/>
      <c r="AI42" s="25"/>
      <c r="AJ42" s="24"/>
      <c r="AK42" s="59"/>
      <c r="AL42" s="24"/>
      <c r="AM42" s="24"/>
      <c r="AN42" s="24"/>
      <c r="AO42" s="24"/>
      <c r="AP42" s="23"/>
      <c r="AQ42" s="24"/>
      <c r="AR42" s="24"/>
      <c r="AS42" s="24"/>
      <c r="AT42" s="59"/>
      <c r="AU42" s="25"/>
      <c r="AV42" s="23"/>
      <c r="AW42" s="23"/>
      <c r="AX42" s="25"/>
      <c r="AY42" s="23"/>
      <c r="AZ42" s="23"/>
    </row>
    <row r="43" spans="1:52" x14ac:dyDescent="0.3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4"/>
      <c r="L43" s="23"/>
      <c r="M43" s="24"/>
      <c r="N43" s="23"/>
      <c r="O43" s="23"/>
      <c r="P43" s="23"/>
      <c r="Q43" s="24"/>
      <c r="R43" s="24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5"/>
      <c r="AE43" s="25"/>
      <c r="AF43" s="25"/>
      <c r="AG43" s="24"/>
      <c r="AH43" s="25"/>
      <c r="AI43" s="25"/>
      <c r="AJ43" s="24"/>
      <c r="AK43" s="59"/>
      <c r="AL43" s="25"/>
      <c r="AM43" s="24"/>
      <c r="AN43" s="24"/>
      <c r="AO43" s="24"/>
      <c r="AP43" s="23"/>
      <c r="AQ43" s="24"/>
      <c r="AR43" s="24"/>
      <c r="AS43" s="24"/>
      <c r="AT43" s="59"/>
      <c r="AU43" s="25"/>
      <c r="AV43" s="23"/>
      <c r="AW43" s="23"/>
      <c r="AX43" s="25"/>
      <c r="AY43" s="23"/>
      <c r="AZ43" s="23"/>
    </row>
    <row r="44" spans="1:52" x14ac:dyDescent="0.3">
      <c r="AJ44" s="24"/>
      <c r="AK44" s="25"/>
    </row>
    <row r="45" spans="1:52" x14ac:dyDescent="0.3">
      <c r="AJ45" s="24"/>
      <c r="AK45" s="61"/>
    </row>
    <row r="46" spans="1:52" x14ac:dyDescent="0.3">
      <c r="AJ46" s="24"/>
      <c r="AK46" s="24"/>
    </row>
    <row r="47" spans="1:52" x14ac:dyDescent="0.3">
      <c r="AJ47" s="24"/>
      <c r="AK47" s="25"/>
    </row>
    <row r="48" spans="1:52" x14ac:dyDescent="0.3">
      <c r="AJ48" s="24"/>
      <c r="AK48" s="25"/>
    </row>
    <row r="49" spans="36:37" x14ac:dyDescent="0.3">
      <c r="AJ49" s="24"/>
      <c r="AK49" s="61"/>
    </row>
  </sheetData>
  <phoneticPr fontId="13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VW59"/>
  <sheetViews>
    <sheetView zoomScaleNormal="100" workbookViewId="0">
      <selection activeCell="H56" sqref="H56"/>
    </sheetView>
  </sheetViews>
  <sheetFormatPr defaultRowHeight="16.5" x14ac:dyDescent="0.3"/>
  <cols>
    <col min="1" max="1" width="5.125" style="49" customWidth="1"/>
    <col min="2" max="2" width="8.875" style="49" customWidth="1"/>
    <col min="3" max="3" width="15.5" style="49" customWidth="1"/>
    <col min="4" max="4" width="8" style="49" customWidth="1"/>
    <col min="5" max="5" width="16.875" style="49" customWidth="1"/>
    <col min="6" max="6" width="13.625" style="49" bestFit="1" customWidth="1"/>
    <col min="7" max="7" width="9.375" style="49" customWidth="1"/>
    <col min="8" max="8" width="7" style="49" customWidth="1"/>
    <col min="9" max="9" width="5.625" style="49" customWidth="1"/>
    <col min="10" max="10" width="5.125" style="49" customWidth="1"/>
    <col min="11" max="11" width="5.625" style="49" customWidth="1"/>
    <col min="12" max="12" width="13.625" style="49" bestFit="1" customWidth="1"/>
    <col min="13" max="13" width="5.125" style="49" customWidth="1"/>
    <col min="14" max="14" width="5.625" style="49" customWidth="1"/>
    <col min="15" max="15" width="11.75" style="49" customWidth="1"/>
    <col min="257" max="257" width="5.125" style="49" customWidth="1"/>
    <col min="258" max="258" width="8.875" style="49" customWidth="1"/>
    <col min="259" max="259" width="15.5" style="49" customWidth="1"/>
    <col min="260" max="260" width="8" style="49" customWidth="1"/>
    <col min="261" max="261" width="16.875" style="49" customWidth="1"/>
    <col min="262" max="262" width="11.25" style="49" customWidth="1"/>
    <col min="263" max="263" width="9.375" style="49" customWidth="1"/>
    <col min="264" max="264" width="7" style="49" customWidth="1"/>
    <col min="265" max="265" width="5.625" style="49" customWidth="1"/>
    <col min="266" max="266" width="5.125" style="49" customWidth="1"/>
    <col min="267" max="267" width="5.625" style="49" customWidth="1"/>
    <col min="268" max="268" width="11.75" style="49" customWidth="1"/>
    <col min="269" max="269" width="5.125" style="49" customWidth="1"/>
    <col min="270" max="270" width="5.625" style="49" customWidth="1"/>
    <col min="271" max="271" width="11.75" style="49" customWidth="1"/>
    <col min="513" max="513" width="5.125" style="49" customWidth="1"/>
    <col min="514" max="514" width="8.875" style="49" customWidth="1"/>
    <col min="515" max="515" width="15.5" style="49" customWidth="1"/>
    <col min="516" max="516" width="8" style="49" customWidth="1"/>
    <col min="517" max="517" width="16.875" style="49" customWidth="1"/>
    <col min="518" max="518" width="11.25" style="49" customWidth="1"/>
    <col min="519" max="519" width="9.375" style="49" customWidth="1"/>
    <col min="520" max="520" width="7" style="49" customWidth="1"/>
    <col min="521" max="521" width="5.625" style="49" customWidth="1"/>
    <col min="522" max="522" width="5.125" style="49" customWidth="1"/>
    <col min="523" max="523" width="5.625" style="49" customWidth="1"/>
    <col min="524" max="524" width="11.75" style="49" customWidth="1"/>
    <col min="525" max="525" width="5.125" style="49" customWidth="1"/>
    <col min="526" max="526" width="5.625" style="49" customWidth="1"/>
    <col min="527" max="527" width="11.75" style="49" customWidth="1"/>
    <col min="769" max="769" width="5.125" style="49" customWidth="1"/>
    <col min="770" max="770" width="8.875" style="49" customWidth="1"/>
    <col min="771" max="771" width="15.5" style="49" customWidth="1"/>
    <col min="772" max="772" width="8" style="49" customWidth="1"/>
    <col min="773" max="773" width="16.875" style="49" customWidth="1"/>
    <col min="774" max="774" width="11.25" style="49" customWidth="1"/>
    <col min="775" max="775" width="9.375" style="49" customWidth="1"/>
    <col min="776" max="776" width="7" style="49" customWidth="1"/>
    <col min="777" max="777" width="5.625" style="49" customWidth="1"/>
    <col min="778" max="778" width="5.125" style="49" customWidth="1"/>
    <col min="779" max="779" width="5.625" style="49" customWidth="1"/>
    <col min="780" max="780" width="11.75" style="49" customWidth="1"/>
    <col min="781" max="781" width="5.125" style="49" customWidth="1"/>
    <col min="782" max="782" width="5.625" style="49" customWidth="1"/>
    <col min="783" max="783" width="11.75" style="49" customWidth="1"/>
    <col min="1025" max="1025" width="5.125" style="49" customWidth="1"/>
    <col min="1026" max="1026" width="8.875" style="49" customWidth="1"/>
    <col min="1027" max="1027" width="15.5" style="49" customWidth="1"/>
    <col min="1028" max="1028" width="8" style="49" customWidth="1"/>
    <col min="1029" max="1029" width="16.875" style="49" customWidth="1"/>
    <col min="1030" max="1030" width="11.25" style="49" customWidth="1"/>
    <col min="1031" max="1031" width="9.375" style="49" customWidth="1"/>
    <col min="1032" max="1032" width="7" style="49" customWidth="1"/>
    <col min="1033" max="1033" width="5.625" style="49" customWidth="1"/>
    <col min="1034" max="1034" width="5.125" style="49" customWidth="1"/>
    <col min="1035" max="1035" width="5.625" style="49" customWidth="1"/>
    <col min="1036" max="1036" width="11.75" style="49" customWidth="1"/>
    <col min="1037" max="1037" width="5.125" style="49" customWidth="1"/>
    <col min="1038" max="1038" width="5.625" style="49" customWidth="1"/>
    <col min="1039" max="1039" width="11.75" style="49" customWidth="1"/>
    <col min="1281" max="1281" width="5.125" style="49" customWidth="1"/>
    <col min="1282" max="1282" width="8.875" style="49" customWidth="1"/>
    <col min="1283" max="1283" width="15.5" style="49" customWidth="1"/>
    <col min="1284" max="1284" width="8" style="49" customWidth="1"/>
    <col min="1285" max="1285" width="16.875" style="49" customWidth="1"/>
    <col min="1286" max="1286" width="11.25" style="49" customWidth="1"/>
    <col min="1287" max="1287" width="9.375" style="49" customWidth="1"/>
    <col min="1288" max="1288" width="7" style="49" customWidth="1"/>
    <col min="1289" max="1289" width="5.625" style="49" customWidth="1"/>
    <col min="1290" max="1290" width="5.125" style="49" customWidth="1"/>
    <col min="1291" max="1291" width="5.625" style="49" customWidth="1"/>
    <col min="1292" max="1292" width="11.75" style="49" customWidth="1"/>
    <col min="1293" max="1293" width="5.125" style="49" customWidth="1"/>
    <col min="1294" max="1294" width="5.625" style="49" customWidth="1"/>
    <col min="1295" max="1295" width="11.75" style="49" customWidth="1"/>
    <col min="1537" max="1537" width="5.125" style="49" customWidth="1"/>
    <col min="1538" max="1538" width="8.875" style="49" customWidth="1"/>
    <col min="1539" max="1539" width="15.5" style="49" customWidth="1"/>
    <col min="1540" max="1540" width="8" style="49" customWidth="1"/>
    <col min="1541" max="1541" width="16.875" style="49" customWidth="1"/>
    <col min="1542" max="1542" width="11.25" style="49" customWidth="1"/>
    <col min="1543" max="1543" width="9.375" style="49" customWidth="1"/>
    <col min="1544" max="1544" width="7" style="49" customWidth="1"/>
    <col min="1545" max="1545" width="5.625" style="49" customWidth="1"/>
    <col min="1546" max="1546" width="5.125" style="49" customWidth="1"/>
    <col min="1547" max="1547" width="5.625" style="49" customWidth="1"/>
    <col min="1548" max="1548" width="11.75" style="49" customWidth="1"/>
    <col min="1549" max="1549" width="5.125" style="49" customWidth="1"/>
    <col min="1550" max="1550" width="5.625" style="49" customWidth="1"/>
    <col min="1551" max="1551" width="11.75" style="49" customWidth="1"/>
    <col min="1793" max="1793" width="5.125" style="49" customWidth="1"/>
    <col min="1794" max="1794" width="8.875" style="49" customWidth="1"/>
    <col min="1795" max="1795" width="15.5" style="49" customWidth="1"/>
    <col min="1796" max="1796" width="8" style="49" customWidth="1"/>
    <col min="1797" max="1797" width="16.875" style="49" customWidth="1"/>
    <col min="1798" max="1798" width="11.25" style="49" customWidth="1"/>
    <col min="1799" max="1799" width="9.375" style="49" customWidth="1"/>
    <col min="1800" max="1800" width="7" style="49" customWidth="1"/>
    <col min="1801" max="1801" width="5.625" style="49" customWidth="1"/>
    <col min="1802" max="1802" width="5.125" style="49" customWidth="1"/>
    <col min="1803" max="1803" width="5.625" style="49" customWidth="1"/>
    <col min="1804" max="1804" width="11.75" style="49" customWidth="1"/>
    <col min="1805" max="1805" width="5.125" style="49" customWidth="1"/>
    <col min="1806" max="1806" width="5.625" style="49" customWidth="1"/>
    <col min="1807" max="1807" width="11.75" style="49" customWidth="1"/>
    <col min="2049" max="2049" width="5.125" style="49" customWidth="1"/>
    <col min="2050" max="2050" width="8.875" style="49" customWidth="1"/>
    <col min="2051" max="2051" width="15.5" style="49" customWidth="1"/>
    <col min="2052" max="2052" width="8" style="49" customWidth="1"/>
    <col min="2053" max="2053" width="16.875" style="49" customWidth="1"/>
    <col min="2054" max="2054" width="11.25" style="49" customWidth="1"/>
    <col min="2055" max="2055" width="9.375" style="49" customWidth="1"/>
    <col min="2056" max="2056" width="7" style="49" customWidth="1"/>
    <col min="2057" max="2057" width="5.625" style="49" customWidth="1"/>
    <col min="2058" max="2058" width="5.125" style="49" customWidth="1"/>
    <col min="2059" max="2059" width="5.625" style="49" customWidth="1"/>
    <col min="2060" max="2060" width="11.75" style="49" customWidth="1"/>
    <col min="2061" max="2061" width="5.125" style="49" customWidth="1"/>
    <col min="2062" max="2062" width="5.625" style="49" customWidth="1"/>
    <col min="2063" max="2063" width="11.75" style="49" customWidth="1"/>
    <col min="2305" max="2305" width="5.125" style="49" customWidth="1"/>
    <col min="2306" max="2306" width="8.875" style="49" customWidth="1"/>
    <col min="2307" max="2307" width="15.5" style="49" customWidth="1"/>
    <col min="2308" max="2308" width="8" style="49" customWidth="1"/>
    <col min="2309" max="2309" width="16.875" style="49" customWidth="1"/>
    <col min="2310" max="2310" width="11.25" style="49" customWidth="1"/>
    <col min="2311" max="2311" width="9.375" style="49" customWidth="1"/>
    <col min="2312" max="2312" width="7" style="49" customWidth="1"/>
    <col min="2313" max="2313" width="5.625" style="49" customWidth="1"/>
    <col min="2314" max="2314" width="5.125" style="49" customWidth="1"/>
    <col min="2315" max="2315" width="5.625" style="49" customWidth="1"/>
    <col min="2316" max="2316" width="11.75" style="49" customWidth="1"/>
    <col min="2317" max="2317" width="5.125" style="49" customWidth="1"/>
    <col min="2318" max="2318" width="5.625" style="49" customWidth="1"/>
    <col min="2319" max="2319" width="11.75" style="49" customWidth="1"/>
    <col min="2561" max="2561" width="5.125" style="49" customWidth="1"/>
    <col min="2562" max="2562" width="8.875" style="49" customWidth="1"/>
    <col min="2563" max="2563" width="15.5" style="49" customWidth="1"/>
    <col min="2564" max="2564" width="8" style="49" customWidth="1"/>
    <col min="2565" max="2565" width="16.875" style="49" customWidth="1"/>
    <col min="2566" max="2566" width="11.25" style="49" customWidth="1"/>
    <col min="2567" max="2567" width="9.375" style="49" customWidth="1"/>
    <col min="2568" max="2568" width="7" style="49" customWidth="1"/>
    <col min="2569" max="2569" width="5.625" style="49" customWidth="1"/>
    <col min="2570" max="2570" width="5.125" style="49" customWidth="1"/>
    <col min="2571" max="2571" width="5.625" style="49" customWidth="1"/>
    <col min="2572" max="2572" width="11.75" style="49" customWidth="1"/>
    <col min="2573" max="2573" width="5.125" style="49" customWidth="1"/>
    <col min="2574" max="2574" width="5.625" style="49" customWidth="1"/>
    <col min="2575" max="2575" width="11.75" style="49" customWidth="1"/>
    <col min="2817" max="2817" width="5.125" style="49" customWidth="1"/>
    <col min="2818" max="2818" width="8.875" style="49" customWidth="1"/>
    <col min="2819" max="2819" width="15.5" style="49" customWidth="1"/>
    <col min="2820" max="2820" width="8" style="49" customWidth="1"/>
    <col min="2821" max="2821" width="16.875" style="49" customWidth="1"/>
    <col min="2822" max="2822" width="11.25" style="49" customWidth="1"/>
    <col min="2823" max="2823" width="9.375" style="49" customWidth="1"/>
    <col min="2824" max="2824" width="7" style="49" customWidth="1"/>
    <col min="2825" max="2825" width="5.625" style="49" customWidth="1"/>
    <col min="2826" max="2826" width="5.125" style="49" customWidth="1"/>
    <col min="2827" max="2827" width="5.625" style="49" customWidth="1"/>
    <col min="2828" max="2828" width="11.75" style="49" customWidth="1"/>
    <col min="2829" max="2829" width="5.125" style="49" customWidth="1"/>
    <col min="2830" max="2830" width="5.625" style="49" customWidth="1"/>
    <col min="2831" max="2831" width="11.75" style="49" customWidth="1"/>
    <col min="3073" max="3073" width="5.125" style="49" customWidth="1"/>
    <col min="3074" max="3074" width="8.875" style="49" customWidth="1"/>
    <col min="3075" max="3075" width="15.5" style="49" customWidth="1"/>
    <col min="3076" max="3076" width="8" style="49" customWidth="1"/>
    <col min="3077" max="3077" width="16.875" style="49" customWidth="1"/>
    <col min="3078" max="3078" width="11.25" style="49" customWidth="1"/>
    <col min="3079" max="3079" width="9.375" style="49" customWidth="1"/>
    <col min="3080" max="3080" width="7" style="49" customWidth="1"/>
    <col min="3081" max="3081" width="5.625" style="49" customWidth="1"/>
    <col min="3082" max="3082" width="5.125" style="49" customWidth="1"/>
    <col min="3083" max="3083" width="5.625" style="49" customWidth="1"/>
    <col min="3084" max="3084" width="11.75" style="49" customWidth="1"/>
    <col min="3085" max="3085" width="5.125" style="49" customWidth="1"/>
    <col min="3086" max="3086" width="5.625" style="49" customWidth="1"/>
    <col min="3087" max="3087" width="11.75" style="49" customWidth="1"/>
    <col min="3329" max="3329" width="5.125" style="49" customWidth="1"/>
    <col min="3330" max="3330" width="8.875" style="49" customWidth="1"/>
    <col min="3331" max="3331" width="15.5" style="49" customWidth="1"/>
    <col min="3332" max="3332" width="8" style="49" customWidth="1"/>
    <col min="3333" max="3333" width="16.875" style="49" customWidth="1"/>
    <col min="3334" max="3334" width="11.25" style="49" customWidth="1"/>
    <col min="3335" max="3335" width="9.375" style="49" customWidth="1"/>
    <col min="3336" max="3336" width="7" style="49" customWidth="1"/>
    <col min="3337" max="3337" width="5.625" style="49" customWidth="1"/>
    <col min="3338" max="3338" width="5.125" style="49" customWidth="1"/>
    <col min="3339" max="3339" width="5.625" style="49" customWidth="1"/>
    <col min="3340" max="3340" width="11.75" style="49" customWidth="1"/>
    <col min="3341" max="3341" width="5.125" style="49" customWidth="1"/>
    <col min="3342" max="3342" width="5.625" style="49" customWidth="1"/>
    <col min="3343" max="3343" width="11.75" style="49" customWidth="1"/>
    <col min="3585" max="3585" width="5.125" style="49" customWidth="1"/>
    <col min="3586" max="3586" width="8.875" style="49" customWidth="1"/>
    <col min="3587" max="3587" width="15.5" style="49" customWidth="1"/>
    <col min="3588" max="3588" width="8" style="49" customWidth="1"/>
    <col min="3589" max="3589" width="16.875" style="49" customWidth="1"/>
    <col min="3590" max="3590" width="11.25" style="49" customWidth="1"/>
    <col min="3591" max="3591" width="9.375" style="49" customWidth="1"/>
    <col min="3592" max="3592" width="7" style="49" customWidth="1"/>
    <col min="3593" max="3593" width="5.625" style="49" customWidth="1"/>
    <col min="3594" max="3594" width="5.125" style="49" customWidth="1"/>
    <col min="3595" max="3595" width="5.625" style="49" customWidth="1"/>
    <col min="3596" max="3596" width="11.75" style="49" customWidth="1"/>
    <col min="3597" max="3597" width="5.125" style="49" customWidth="1"/>
    <col min="3598" max="3598" width="5.625" style="49" customWidth="1"/>
    <col min="3599" max="3599" width="11.75" style="49" customWidth="1"/>
    <col min="3841" max="3841" width="5.125" style="49" customWidth="1"/>
    <col min="3842" max="3842" width="8.875" style="49" customWidth="1"/>
    <col min="3843" max="3843" width="15.5" style="49" customWidth="1"/>
    <col min="3844" max="3844" width="8" style="49" customWidth="1"/>
    <col min="3845" max="3845" width="16.875" style="49" customWidth="1"/>
    <col min="3846" max="3846" width="11.25" style="49" customWidth="1"/>
    <col min="3847" max="3847" width="9.375" style="49" customWidth="1"/>
    <col min="3848" max="3848" width="7" style="49" customWidth="1"/>
    <col min="3849" max="3849" width="5.625" style="49" customWidth="1"/>
    <col min="3850" max="3850" width="5.125" style="49" customWidth="1"/>
    <col min="3851" max="3851" width="5.625" style="49" customWidth="1"/>
    <col min="3852" max="3852" width="11.75" style="49" customWidth="1"/>
    <col min="3853" max="3853" width="5.125" style="49" customWidth="1"/>
    <col min="3854" max="3854" width="5.625" style="49" customWidth="1"/>
    <col min="3855" max="3855" width="11.75" style="49" customWidth="1"/>
    <col min="4097" max="4097" width="5.125" style="49" customWidth="1"/>
    <col min="4098" max="4098" width="8.875" style="49" customWidth="1"/>
    <col min="4099" max="4099" width="15.5" style="49" customWidth="1"/>
    <col min="4100" max="4100" width="8" style="49" customWidth="1"/>
    <col min="4101" max="4101" width="16.875" style="49" customWidth="1"/>
    <col min="4102" max="4102" width="11.25" style="49" customWidth="1"/>
    <col min="4103" max="4103" width="9.375" style="49" customWidth="1"/>
    <col min="4104" max="4104" width="7" style="49" customWidth="1"/>
    <col min="4105" max="4105" width="5.625" style="49" customWidth="1"/>
    <col min="4106" max="4106" width="5.125" style="49" customWidth="1"/>
    <col min="4107" max="4107" width="5.625" style="49" customWidth="1"/>
    <col min="4108" max="4108" width="11.75" style="49" customWidth="1"/>
    <col min="4109" max="4109" width="5.125" style="49" customWidth="1"/>
    <col min="4110" max="4110" width="5.625" style="49" customWidth="1"/>
    <col min="4111" max="4111" width="11.75" style="49" customWidth="1"/>
    <col min="4353" max="4353" width="5.125" style="49" customWidth="1"/>
    <col min="4354" max="4354" width="8.875" style="49" customWidth="1"/>
    <col min="4355" max="4355" width="15.5" style="49" customWidth="1"/>
    <col min="4356" max="4356" width="8" style="49" customWidth="1"/>
    <col min="4357" max="4357" width="16.875" style="49" customWidth="1"/>
    <col min="4358" max="4358" width="11.25" style="49" customWidth="1"/>
    <col min="4359" max="4359" width="9.375" style="49" customWidth="1"/>
    <col min="4360" max="4360" width="7" style="49" customWidth="1"/>
    <col min="4361" max="4361" width="5.625" style="49" customWidth="1"/>
    <col min="4362" max="4362" width="5.125" style="49" customWidth="1"/>
    <col min="4363" max="4363" width="5.625" style="49" customWidth="1"/>
    <col min="4364" max="4364" width="11.75" style="49" customWidth="1"/>
    <col min="4365" max="4365" width="5.125" style="49" customWidth="1"/>
    <col min="4366" max="4366" width="5.625" style="49" customWidth="1"/>
    <col min="4367" max="4367" width="11.75" style="49" customWidth="1"/>
    <col min="4609" max="4609" width="5.125" style="49" customWidth="1"/>
    <col min="4610" max="4610" width="8.875" style="49" customWidth="1"/>
    <col min="4611" max="4611" width="15.5" style="49" customWidth="1"/>
    <col min="4612" max="4612" width="8" style="49" customWidth="1"/>
    <col min="4613" max="4613" width="16.875" style="49" customWidth="1"/>
    <col min="4614" max="4614" width="11.25" style="49" customWidth="1"/>
    <col min="4615" max="4615" width="9.375" style="49" customWidth="1"/>
    <col min="4616" max="4616" width="7" style="49" customWidth="1"/>
    <col min="4617" max="4617" width="5.625" style="49" customWidth="1"/>
    <col min="4618" max="4618" width="5.125" style="49" customWidth="1"/>
    <col min="4619" max="4619" width="5.625" style="49" customWidth="1"/>
    <col min="4620" max="4620" width="11.75" style="49" customWidth="1"/>
    <col min="4621" max="4621" width="5.125" style="49" customWidth="1"/>
    <col min="4622" max="4622" width="5.625" style="49" customWidth="1"/>
    <col min="4623" max="4623" width="11.75" style="49" customWidth="1"/>
    <col min="4865" max="4865" width="5.125" style="49" customWidth="1"/>
    <col min="4866" max="4866" width="8.875" style="49" customWidth="1"/>
    <col min="4867" max="4867" width="15.5" style="49" customWidth="1"/>
    <col min="4868" max="4868" width="8" style="49" customWidth="1"/>
    <col min="4869" max="4869" width="16.875" style="49" customWidth="1"/>
    <col min="4870" max="4870" width="11.25" style="49" customWidth="1"/>
    <col min="4871" max="4871" width="9.375" style="49" customWidth="1"/>
    <col min="4872" max="4872" width="7" style="49" customWidth="1"/>
    <col min="4873" max="4873" width="5.625" style="49" customWidth="1"/>
    <col min="4874" max="4874" width="5.125" style="49" customWidth="1"/>
    <col min="4875" max="4875" width="5.625" style="49" customWidth="1"/>
    <col min="4876" max="4876" width="11.75" style="49" customWidth="1"/>
    <col min="4877" max="4877" width="5.125" style="49" customWidth="1"/>
    <col min="4878" max="4878" width="5.625" style="49" customWidth="1"/>
    <col min="4879" max="4879" width="11.75" style="49" customWidth="1"/>
    <col min="5121" max="5121" width="5.125" style="49" customWidth="1"/>
    <col min="5122" max="5122" width="8.875" style="49" customWidth="1"/>
    <col min="5123" max="5123" width="15.5" style="49" customWidth="1"/>
    <col min="5124" max="5124" width="8" style="49" customWidth="1"/>
    <col min="5125" max="5125" width="16.875" style="49" customWidth="1"/>
    <col min="5126" max="5126" width="11.25" style="49" customWidth="1"/>
    <col min="5127" max="5127" width="9.375" style="49" customWidth="1"/>
    <col min="5128" max="5128" width="7" style="49" customWidth="1"/>
    <col min="5129" max="5129" width="5.625" style="49" customWidth="1"/>
    <col min="5130" max="5130" width="5.125" style="49" customWidth="1"/>
    <col min="5131" max="5131" width="5.625" style="49" customWidth="1"/>
    <col min="5132" max="5132" width="11.75" style="49" customWidth="1"/>
    <col min="5133" max="5133" width="5.125" style="49" customWidth="1"/>
    <col min="5134" max="5134" width="5.625" style="49" customWidth="1"/>
    <col min="5135" max="5135" width="11.75" style="49" customWidth="1"/>
    <col min="5377" max="5377" width="5.125" style="49" customWidth="1"/>
    <col min="5378" max="5378" width="8.875" style="49" customWidth="1"/>
    <col min="5379" max="5379" width="15.5" style="49" customWidth="1"/>
    <col min="5380" max="5380" width="8" style="49" customWidth="1"/>
    <col min="5381" max="5381" width="16.875" style="49" customWidth="1"/>
    <col min="5382" max="5382" width="11.25" style="49" customWidth="1"/>
    <col min="5383" max="5383" width="9.375" style="49" customWidth="1"/>
    <col min="5384" max="5384" width="7" style="49" customWidth="1"/>
    <col min="5385" max="5385" width="5.625" style="49" customWidth="1"/>
    <col min="5386" max="5386" width="5.125" style="49" customWidth="1"/>
    <col min="5387" max="5387" width="5.625" style="49" customWidth="1"/>
    <col min="5388" max="5388" width="11.75" style="49" customWidth="1"/>
    <col min="5389" max="5389" width="5.125" style="49" customWidth="1"/>
    <col min="5390" max="5390" width="5.625" style="49" customWidth="1"/>
    <col min="5391" max="5391" width="11.75" style="49" customWidth="1"/>
    <col min="5633" max="5633" width="5.125" style="49" customWidth="1"/>
    <col min="5634" max="5634" width="8.875" style="49" customWidth="1"/>
    <col min="5635" max="5635" width="15.5" style="49" customWidth="1"/>
    <col min="5636" max="5636" width="8" style="49" customWidth="1"/>
    <col min="5637" max="5637" width="16.875" style="49" customWidth="1"/>
    <col min="5638" max="5638" width="11.25" style="49" customWidth="1"/>
    <col min="5639" max="5639" width="9.375" style="49" customWidth="1"/>
    <col min="5640" max="5640" width="7" style="49" customWidth="1"/>
    <col min="5641" max="5641" width="5.625" style="49" customWidth="1"/>
    <col min="5642" max="5642" width="5.125" style="49" customWidth="1"/>
    <col min="5643" max="5643" width="5.625" style="49" customWidth="1"/>
    <col min="5644" max="5644" width="11.75" style="49" customWidth="1"/>
    <col min="5645" max="5645" width="5.125" style="49" customWidth="1"/>
    <col min="5646" max="5646" width="5.625" style="49" customWidth="1"/>
    <col min="5647" max="5647" width="11.75" style="49" customWidth="1"/>
    <col min="5889" max="5889" width="5.125" style="49" customWidth="1"/>
    <col min="5890" max="5890" width="8.875" style="49" customWidth="1"/>
    <col min="5891" max="5891" width="15.5" style="49" customWidth="1"/>
    <col min="5892" max="5892" width="8" style="49" customWidth="1"/>
    <col min="5893" max="5893" width="16.875" style="49" customWidth="1"/>
    <col min="5894" max="5894" width="11.25" style="49" customWidth="1"/>
    <col min="5895" max="5895" width="9.375" style="49" customWidth="1"/>
    <col min="5896" max="5896" width="7" style="49" customWidth="1"/>
    <col min="5897" max="5897" width="5.625" style="49" customWidth="1"/>
    <col min="5898" max="5898" width="5.125" style="49" customWidth="1"/>
    <col min="5899" max="5899" width="5.625" style="49" customWidth="1"/>
    <col min="5900" max="5900" width="11.75" style="49" customWidth="1"/>
    <col min="5901" max="5901" width="5.125" style="49" customWidth="1"/>
    <col min="5902" max="5902" width="5.625" style="49" customWidth="1"/>
    <col min="5903" max="5903" width="11.75" style="49" customWidth="1"/>
    <col min="6145" max="6145" width="5.125" style="49" customWidth="1"/>
    <col min="6146" max="6146" width="8.875" style="49" customWidth="1"/>
    <col min="6147" max="6147" width="15.5" style="49" customWidth="1"/>
    <col min="6148" max="6148" width="8" style="49" customWidth="1"/>
    <col min="6149" max="6149" width="16.875" style="49" customWidth="1"/>
    <col min="6150" max="6150" width="11.25" style="49" customWidth="1"/>
    <col min="6151" max="6151" width="9.375" style="49" customWidth="1"/>
    <col min="6152" max="6152" width="7" style="49" customWidth="1"/>
    <col min="6153" max="6153" width="5.625" style="49" customWidth="1"/>
    <col min="6154" max="6154" width="5.125" style="49" customWidth="1"/>
    <col min="6155" max="6155" width="5.625" style="49" customWidth="1"/>
    <col min="6156" max="6156" width="11.75" style="49" customWidth="1"/>
    <col min="6157" max="6157" width="5.125" style="49" customWidth="1"/>
    <col min="6158" max="6158" width="5.625" style="49" customWidth="1"/>
    <col min="6159" max="6159" width="11.75" style="49" customWidth="1"/>
    <col min="6401" max="6401" width="5.125" style="49" customWidth="1"/>
    <col min="6402" max="6402" width="8.875" style="49" customWidth="1"/>
    <col min="6403" max="6403" width="15.5" style="49" customWidth="1"/>
    <col min="6404" max="6404" width="8" style="49" customWidth="1"/>
    <col min="6405" max="6405" width="16.875" style="49" customWidth="1"/>
    <col min="6406" max="6406" width="11.25" style="49" customWidth="1"/>
    <col min="6407" max="6407" width="9.375" style="49" customWidth="1"/>
    <col min="6408" max="6408" width="7" style="49" customWidth="1"/>
    <col min="6409" max="6409" width="5.625" style="49" customWidth="1"/>
    <col min="6410" max="6410" width="5.125" style="49" customWidth="1"/>
    <col min="6411" max="6411" width="5.625" style="49" customWidth="1"/>
    <col min="6412" max="6412" width="11.75" style="49" customWidth="1"/>
    <col min="6413" max="6413" width="5.125" style="49" customWidth="1"/>
    <col min="6414" max="6414" width="5.625" style="49" customWidth="1"/>
    <col min="6415" max="6415" width="11.75" style="49" customWidth="1"/>
    <col min="6657" max="6657" width="5.125" style="49" customWidth="1"/>
    <col min="6658" max="6658" width="8.875" style="49" customWidth="1"/>
    <col min="6659" max="6659" width="15.5" style="49" customWidth="1"/>
    <col min="6660" max="6660" width="8" style="49" customWidth="1"/>
    <col min="6661" max="6661" width="16.875" style="49" customWidth="1"/>
    <col min="6662" max="6662" width="11.25" style="49" customWidth="1"/>
    <col min="6663" max="6663" width="9.375" style="49" customWidth="1"/>
    <col min="6664" max="6664" width="7" style="49" customWidth="1"/>
    <col min="6665" max="6665" width="5.625" style="49" customWidth="1"/>
    <col min="6666" max="6666" width="5.125" style="49" customWidth="1"/>
    <col min="6667" max="6667" width="5.625" style="49" customWidth="1"/>
    <col min="6668" max="6668" width="11.75" style="49" customWidth="1"/>
    <col min="6669" max="6669" width="5.125" style="49" customWidth="1"/>
    <col min="6670" max="6670" width="5.625" style="49" customWidth="1"/>
    <col min="6671" max="6671" width="11.75" style="49" customWidth="1"/>
    <col min="6913" max="6913" width="5.125" style="49" customWidth="1"/>
    <col min="6914" max="6914" width="8.875" style="49" customWidth="1"/>
    <col min="6915" max="6915" width="15.5" style="49" customWidth="1"/>
    <col min="6916" max="6916" width="8" style="49" customWidth="1"/>
    <col min="6917" max="6917" width="16.875" style="49" customWidth="1"/>
    <col min="6918" max="6918" width="11.25" style="49" customWidth="1"/>
    <col min="6919" max="6919" width="9.375" style="49" customWidth="1"/>
    <col min="6920" max="6920" width="7" style="49" customWidth="1"/>
    <col min="6921" max="6921" width="5.625" style="49" customWidth="1"/>
    <col min="6922" max="6922" width="5.125" style="49" customWidth="1"/>
    <col min="6923" max="6923" width="5.625" style="49" customWidth="1"/>
    <col min="6924" max="6924" width="11.75" style="49" customWidth="1"/>
    <col min="6925" max="6925" width="5.125" style="49" customWidth="1"/>
    <col min="6926" max="6926" width="5.625" style="49" customWidth="1"/>
    <col min="6927" max="6927" width="11.75" style="49" customWidth="1"/>
    <col min="7169" max="7169" width="5.125" style="49" customWidth="1"/>
    <col min="7170" max="7170" width="8.875" style="49" customWidth="1"/>
    <col min="7171" max="7171" width="15.5" style="49" customWidth="1"/>
    <col min="7172" max="7172" width="8" style="49" customWidth="1"/>
    <col min="7173" max="7173" width="16.875" style="49" customWidth="1"/>
    <col min="7174" max="7174" width="11.25" style="49" customWidth="1"/>
    <col min="7175" max="7175" width="9.375" style="49" customWidth="1"/>
    <col min="7176" max="7176" width="7" style="49" customWidth="1"/>
    <col min="7177" max="7177" width="5.625" style="49" customWidth="1"/>
    <col min="7178" max="7178" width="5.125" style="49" customWidth="1"/>
    <col min="7179" max="7179" width="5.625" style="49" customWidth="1"/>
    <col min="7180" max="7180" width="11.75" style="49" customWidth="1"/>
    <col min="7181" max="7181" width="5.125" style="49" customWidth="1"/>
    <col min="7182" max="7182" width="5.625" style="49" customWidth="1"/>
    <col min="7183" max="7183" width="11.75" style="49" customWidth="1"/>
    <col min="7425" max="7425" width="5.125" style="49" customWidth="1"/>
    <col min="7426" max="7426" width="8.875" style="49" customWidth="1"/>
    <col min="7427" max="7427" width="15.5" style="49" customWidth="1"/>
    <col min="7428" max="7428" width="8" style="49" customWidth="1"/>
    <col min="7429" max="7429" width="16.875" style="49" customWidth="1"/>
    <col min="7430" max="7430" width="11.25" style="49" customWidth="1"/>
    <col min="7431" max="7431" width="9.375" style="49" customWidth="1"/>
    <col min="7432" max="7432" width="7" style="49" customWidth="1"/>
    <col min="7433" max="7433" width="5.625" style="49" customWidth="1"/>
    <col min="7434" max="7434" width="5.125" style="49" customWidth="1"/>
    <col min="7435" max="7435" width="5.625" style="49" customWidth="1"/>
    <col min="7436" max="7436" width="11.75" style="49" customWidth="1"/>
    <col min="7437" max="7437" width="5.125" style="49" customWidth="1"/>
    <col min="7438" max="7438" width="5.625" style="49" customWidth="1"/>
    <col min="7439" max="7439" width="11.75" style="49" customWidth="1"/>
    <col min="7681" max="7681" width="5.125" style="49" customWidth="1"/>
    <col min="7682" max="7682" width="8.875" style="49" customWidth="1"/>
    <col min="7683" max="7683" width="15.5" style="49" customWidth="1"/>
    <col min="7684" max="7684" width="8" style="49" customWidth="1"/>
    <col min="7685" max="7685" width="16.875" style="49" customWidth="1"/>
    <col min="7686" max="7686" width="11.25" style="49" customWidth="1"/>
    <col min="7687" max="7687" width="9.375" style="49" customWidth="1"/>
    <col min="7688" max="7688" width="7" style="49" customWidth="1"/>
    <col min="7689" max="7689" width="5.625" style="49" customWidth="1"/>
    <col min="7690" max="7690" width="5.125" style="49" customWidth="1"/>
    <col min="7691" max="7691" width="5.625" style="49" customWidth="1"/>
    <col min="7692" max="7692" width="11.75" style="49" customWidth="1"/>
    <col min="7693" max="7693" width="5.125" style="49" customWidth="1"/>
    <col min="7694" max="7694" width="5.625" style="49" customWidth="1"/>
    <col min="7695" max="7695" width="11.75" style="49" customWidth="1"/>
    <col min="7937" max="7937" width="5.125" style="49" customWidth="1"/>
    <col min="7938" max="7938" width="8.875" style="49" customWidth="1"/>
    <col min="7939" max="7939" width="15.5" style="49" customWidth="1"/>
    <col min="7940" max="7940" width="8" style="49" customWidth="1"/>
    <col min="7941" max="7941" width="16.875" style="49" customWidth="1"/>
    <col min="7942" max="7942" width="11.25" style="49" customWidth="1"/>
    <col min="7943" max="7943" width="9.375" style="49" customWidth="1"/>
    <col min="7944" max="7944" width="7" style="49" customWidth="1"/>
    <col min="7945" max="7945" width="5.625" style="49" customWidth="1"/>
    <col min="7946" max="7946" width="5.125" style="49" customWidth="1"/>
    <col min="7947" max="7947" width="5.625" style="49" customWidth="1"/>
    <col min="7948" max="7948" width="11.75" style="49" customWidth="1"/>
    <col min="7949" max="7949" width="5.125" style="49" customWidth="1"/>
    <col min="7950" max="7950" width="5.625" style="49" customWidth="1"/>
    <col min="7951" max="7951" width="11.75" style="49" customWidth="1"/>
    <col min="8193" max="8193" width="5.125" style="49" customWidth="1"/>
    <col min="8194" max="8194" width="8.875" style="49" customWidth="1"/>
    <col min="8195" max="8195" width="15.5" style="49" customWidth="1"/>
    <col min="8196" max="8196" width="8" style="49" customWidth="1"/>
    <col min="8197" max="8197" width="16.875" style="49" customWidth="1"/>
    <col min="8198" max="8198" width="11.25" style="49" customWidth="1"/>
    <col min="8199" max="8199" width="9.375" style="49" customWidth="1"/>
    <col min="8200" max="8200" width="7" style="49" customWidth="1"/>
    <col min="8201" max="8201" width="5.625" style="49" customWidth="1"/>
    <col min="8202" max="8202" width="5.125" style="49" customWidth="1"/>
    <col min="8203" max="8203" width="5.625" style="49" customWidth="1"/>
    <col min="8204" max="8204" width="11.75" style="49" customWidth="1"/>
    <col min="8205" max="8205" width="5.125" style="49" customWidth="1"/>
    <col min="8206" max="8206" width="5.625" style="49" customWidth="1"/>
    <col min="8207" max="8207" width="11.75" style="49" customWidth="1"/>
    <col min="8449" max="8449" width="5.125" style="49" customWidth="1"/>
    <col min="8450" max="8450" width="8.875" style="49" customWidth="1"/>
    <col min="8451" max="8451" width="15.5" style="49" customWidth="1"/>
    <col min="8452" max="8452" width="8" style="49" customWidth="1"/>
    <col min="8453" max="8453" width="16.875" style="49" customWidth="1"/>
    <col min="8454" max="8454" width="11.25" style="49" customWidth="1"/>
    <col min="8455" max="8455" width="9.375" style="49" customWidth="1"/>
    <col min="8456" max="8456" width="7" style="49" customWidth="1"/>
    <col min="8457" max="8457" width="5.625" style="49" customWidth="1"/>
    <col min="8458" max="8458" width="5.125" style="49" customWidth="1"/>
    <col min="8459" max="8459" width="5.625" style="49" customWidth="1"/>
    <col min="8460" max="8460" width="11.75" style="49" customWidth="1"/>
    <col min="8461" max="8461" width="5.125" style="49" customWidth="1"/>
    <col min="8462" max="8462" width="5.625" style="49" customWidth="1"/>
    <col min="8463" max="8463" width="11.75" style="49" customWidth="1"/>
    <col min="8705" max="8705" width="5.125" style="49" customWidth="1"/>
    <col min="8706" max="8706" width="8.875" style="49" customWidth="1"/>
    <col min="8707" max="8707" width="15.5" style="49" customWidth="1"/>
    <col min="8708" max="8708" width="8" style="49" customWidth="1"/>
    <col min="8709" max="8709" width="16.875" style="49" customWidth="1"/>
    <col min="8710" max="8710" width="11.25" style="49" customWidth="1"/>
    <col min="8711" max="8711" width="9.375" style="49" customWidth="1"/>
    <col min="8712" max="8712" width="7" style="49" customWidth="1"/>
    <col min="8713" max="8713" width="5.625" style="49" customWidth="1"/>
    <col min="8714" max="8714" width="5.125" style="49" customWidth="1"/>
    <col min="8715" max="8715" width="5.625" style="49" customWidth="1"/>
    <col min="8716" max="8716" width="11.75" style="49" customWidth="1"/>
    <col min="8717" max="8717" width="5.125" style="49" customWidth="1"/>
    <col min="8718" max="8718" width="5.625" style="49" customWidth="1"/>
    <col min="8719" max="8719" width="11.75" style="49" customWidth="1"/>
    <col min="8961" max="8961" width="5.125" style="49" customWidth="1"/>
    <col min="8962" max="8962" width="8.875" style="49" customWidth="1"/>
    <col min="8963" max="8963" width="15.5" style="49" customWidth="1"/>
    <col min="8964" max="8964" width="8" style="49" customWidth="1"/>
    <col min="8965" max="8965" width="16.875" style="49" customWidth="1"/>
    <col min="8966" max="8966" width="11.25" style="49" customWidth="1"/>
    <col min="8967" max="8967" width="9.375" style="49" customWidth="1"/>
    <col min="8968" max="8968" width="7" style="49" customWidth="1"/>
    <col min="8969" max="8969" width="5.625" style="49" customWidth="1"/>
    <col min="8970" max="8970" width="5.125" style="49" customWidth="1"/>
    <col min="8971" max="8971" width="5.625" style="49" customWidth="1"/>
    <col min="8972" max="8972" width="11.75" style="49" customWidth="1"/>
    <col min="8973" max="8973" width="5.125" style="49" customWidth="1"/>
    <col min="8974" max="8974" width="5.625" style="49" customWidth="1"/>
    <col min="8975" max="8975" width="11.75" style="49" customWidth="1"/>
    <col min="9217" max="9217" width="5.125" style="49" customWidth="1"/>
    <col min="9218" max="9218" width="8.875" style="49" customWidth="1"/>
    <col min="9219" max="9219" width="15.5" style="49" customWidth="1"/>
    <col min="9220" max="9220" width="8" style="49" customWidth="1"/>
    <col min="9221" max="9221" width="16.875" style="49" customWidth="1"/>
    <col min="9222" max="9222" width="11.25" style="49" customWidth="1"/>
    <col min="9223" max="9223" width="9.375" style="49" customWidth="1"/>
    <col min="9224" max="9224" width="7" style="49" customWidth="1"/>
    <col min="9225" max="9225" width="5.625" style="49" customWidth="1"/>
    <col min="9226" max="9226" width="5.125" style="49" customWidth="1"/>
    <col min="9227" max="9227" width="5.625" style="49" customWidth="1"/>
    <col min="9228" max="9228" width="11.75" style="49" customWidth="1"/>
    <col min="9229" max="9229" width="5.125" style="49" customWidth="1"/>
    <col min="9230" max="9230" width="5.625" style="49" customWidth="1"/>
    <col min="9231" max="9231" width="11.75" style="49" customWidth="1"/>
    <col min="9473" max="9473" width="5.125" style="49" customWidth="1"/>
    <col min="9474" max="9474" width="8.875" style="49" customWidth="1"/>
    <col min="9475" max="9475" width="15.5" style="49" customWidth="1"/>
    <col min="9476" max="9476" width="8" style="49" customWidth="1"/>
    <col min="9477" max="9477" width="16.875" style="49" customWidth="1"/>
    <col min="9478" max="9478" width="11.25" style="49" customWidth="1"/>
    <col min="9479" max="9479" width="9.375" style="49" customWidth="1"/>
    <col min="9480" max="9480" width="7" style="49" customWidth="1"/>
    <col min="9481" max="9481" width="5.625" style="49" customWidth="1"/>
    <col min="9482" max="9482" width="5.125" style="49" customWidth="1"/>
    <col min="9483" max="9483" width="5.625" style="49" customWidth="1"/>
    <col min="9484" max="9484" width="11.75" style="49" customWidth="1"/>
    <col min="9485" max="9485" width="5.125" style="49" customWidth="1"/>
    <col min="9486" max="9486" width="5.625" style="49" customWidth="1"/>
    <col min="9487" max="9487" width="11.75" style="49" customWidth="1"/>
    <col min="9729" max="9729" width="5.125" style="49" customWidth="1"/>
    <col min="9730" max="9730" width="8.875" style="49" customWidth="1"/>
    <col min="9731" max="9731" width="15.5" style="49" customWidth="1"/>
    <col min="9732" max="9732" width="8" style="49" customWidth="1"/>
    <col min="9733" max="9733" width="16.875" style="49" customWidth="1"/>
    <col min="9734" max="9734" width="11.25" style="49" customWidth="1"/>
    <col min="9735" max="9735" width="9.375" style="49" customWidth="1"/>
    <col min="9736" max="9736" width="7" style="49" customWidth="1"/>
    <col min="9737" max="9737" width="5.625" style="49" customWidth="1"/>
    <col min="9738" max="9738" width="5.125" style="49" customWidth="1"/>
    <col min="9739" max="9739" width="5.625" style="49" customWidth="1"/>
    <col min="9740" max="9740" width="11.75" style="49" customWidth="1"/>
    <col min="9741" max="9741" width="5.125" style="49" customWidth="1"/>
    <col min="9742" max="9742" width="5.625" style="49" customWidth="1"/>
    <col min="9743" max="9743" width="11.75" style="49" customWidth="1"/>
    <col min="9985" max="9985" width="5.125" style="49" customWidth="1"/>
    <col min="9986" max="9986" width="8.875" style="49" customWidth="1"/>
    <col min="9987" max="9987" width="15.5" style="49" customWidth="1"/>
    <col min="9988" max="9988" width="8" style="49" customWidth="1"/>
    <col min="9989" max="9989" width="16.875" style="49" customWidth="1"/>
    <col min="9990" max="9990" width="11.25" style="49" customWidth="1"/>
    <col min="9991" max="9991" width="9.375" style="49" customWidth="1"/>
    <col min="9992" max="9992" width="7" style="49" customWidth="1"/>
    <col min="9993" max="9993" width="5.625" style="49" customWidth="1"/>
    <col min="9994" max="9994" width="5.125" style="49" customWidth="1"/>
    <col min="9995" max="9995" width="5.625" style="49" customWidth="1"/>
    <col min="9996" max="9996" width="11.75" style="49" customWidth="1"/>
    <col min="9997" max="9997" width="5.125" style="49" customWidth="1"/>
    <col min="9998" max="9998" width="5.625" style="49" customWidth="1"/>
    <col min="9999" max="9999" width="11.75" style="49" customWidth="1"/>
    <col min="10241" max="10241" width="5.125" style="49" customWidth="1"/>
    <col min="10242" max="10242" width="8.875" style="49" customWidth="1"/>
    <col min="10243" max="10243" width="15.5" style="49" customWidth="1"/>
    <col min="10244" max="10244" width="8" style="49" customWidth="1"/>
    <col min="10245" max="10245" width="16.875" style="49" customWidth="1"/>
    <col min="10246" max="10246" width="11.25" style="49" customWidth="1"/>
    <col min="10247" max="10247" width="9.375" style="49" customWidth="1"/>
    <col min="10248" max="10248" width="7" style="49" customWidth="1"/>
    <col min="10249" max="10249" width="5.625" style="49" customWidth="1"/>
    <col min="10250" max="10250" width="5.125" style="49" customWidth="1"/>
    <col min="10251" max="10251" width="5.625" style="49" customWidth="1"/>
    <col min="10252" max="10252" width="11.75" style="49" customWidth="1"/>
    <col min="10253" max="10253" width="5.125" style="49" customWidth="1"/>
    <col min="10254" max="10254" width="5.625" style="49" customWidth="1"/>
    <col min="10255" max="10255" width="11.75" style="49" customWidth="1"/>
    <col min="10497" max="10497" width="5.125" style="49" customWidth="1"/>
    <col min="10498" max="10498" width="8.875" style="49" customWidth="1"/>
    <col min="10499" max="10499" width="15.5" style="49" customWidth="1"/>
    <col min="10500" max="10500" width="8" style="49" customWidth="1"/>
    <col min="10501" max="10501" width="16.875" style="49" customWidth="1"/>
    <col min="10502" max="10502" width="11.25" style="49" customWidth="1"/>
    <col min="10503" max="10503" width="9.375" style="49" customWidth="1"/>
    <col min="10504" max="10504" width="7" style="49" customWidth="1"/>
    <col min="10505" max="10505" width="5.625" style="49" customWidth="1"/>
    <col min="10506" max="10506" width="5.125" style="49" customWidth="1"/>
    <col min="10507" max="10507" width="5.625" style="49" customWidth="1"/>
    <col min="10508" max="10508" width="11.75" style="49" customWidth="1"/>
    <col min="10509" max="10509" width="5.125" style="49" customWidth="1"/>
    <col min="10510" max="10510" width="5.625" style="49" customWidth="1"/>
    <col min="10511" max="10511" width="11.75" style="49" customWidth="1"/>
    <col min="10753" max="10753" width="5.125" style="49" customWidth="1"/>
    <col min="10754" max="10754" width="8.875" style="49" customWidth="1"/>
    <col min="10755" max="10755" width="15.5" style="49" customWidth="1"/>
    <col min="10756" max="10756" width="8" style="49" customWidth="1"/>
    <col min="10757" max="10757" width="16.875" style="49" customWidth="1"/>
    <col min="10758" max="10758" width="11.25" style="49" customWidth="1"/>
    <col min="10759" max="10759" width="9.375" style="49" customWidth="1"/>
    <col min="10760" max="10760" width="7" style="49" customWidth="1"/>
    <col min="10761" max="10761" width="5.625" style="49" customWidth="1"/>
    <col min="10762" max="10762" width="5.125" style="49" customWidth="1"/>
    <col min="10763" max="10763" width="5.625" style="49" customWidth="1"/>
    <col min="10764" max="10764" width="11.75" style="49" customWidth="1"/>
    <col min="10765" max="10765" width="5.125" style="49" customWidth="1"/>
    <col min="10766" max="10766" width="5.625" style="49" customWidth="1"/>
    <col min="10767" max="10767" width="11.75" style="49" customWidth="1"/>
    <col min="11009" max="11009" width="5.125" style="49" customWidth="1"/>
    <col min="11010" max="11010" width="8.875" style="49" customWidth="1"/>
    <col min="11011" max="11011" width="15.5" style="49" customWidth="1"/>
    <col min="11012" max="11012" width="8" style="49" customWidth="1"/>
    <col min="11013" max="11013" width="16.875" style="49" customWidth="1"/>
    <col min="11014" max="11014" width="11.25" style="49" customWidth="1"/>
    <col min="11015" max="11015" width="9.375" style="49" customWidth="1"/>
    <col min="11016" max="11016" width="7" style="49" customWidth="1"/>
    <col min="11017" max="11017" width="5.625" style="49" customWidth="1"/>
    <col min="11018" max="11018" width="5.125" style="49" customWidth="1"/>
    <col min="11019" max="11019" width="5.625" style="49" customWidth="1"/>
    <col min="11020" max="11020" width="11.75" style="49" customWidth="1"/>
    <col min="11021" max="11021" width="5.125" style="49" customWidth="1"/>
    <col min="11022" max="11022" width="5.625" style="49" customWidth="1"/>
    <col min="11023" max="11023" width="11.75" style="49" customWidth="1"/>
    <col min="11265" max="11265" width="5.125" style="49" customWidth="1"/>
    <col min="11266" max="11266" width="8.875" style="49" customWidth="1"/>
    <col min="11267" max="11267" width="15.5" style="49" customWidth="1"/>
    <col min="11268" max="11268" width="8" style="49" customWidth="1"/>
    <col min="11269" max="11269" width="16.875" style="49" customWidth="1"/>
    <col min="11270" max="11270" width="11.25" style="49" customWidth="1"/>
    <col min="11271" max="11271" width="9.375" style="49" customWidth="1"/>
    <col min="11272" max="11272" width="7" style="49" customWidth="1"/>
    <col min="11273" max="11273" width="5.625" style="49" customWidth="1"/>
    <col min="11274" max="11274" width="5.125" style="49" customWidth="1"/>
    <col min="11275" max="11275" width="5.625" style="49" customWidth="1"/>
    <col min="11276" max="11276" width="11.75" style="49" customWidth="1"/>
    <col min="11277" max="11277" width="5.125" style="49" customWidth="1"/>
    <col min="11278" max="11278" width="5.625" style="49" customWidth="1"/>
    <col min="11279" max="11279" width="11.75" style="49" customWidth="1"/>
    <col min="11521" max="11521" width="5.125" style="49" customWidth="1"/>
    <col min="11522" max="11522" width="8.875" style="49" customWidth="1"/>
    <col min="11523" max="11523" width="15.5" style="49" customWidth="1"/>
    <col min="11524" max="11524" width="8" style="49" customWidth="1"/>
    <col min="11525" max="11525" width="16.875" style="49" customWidth="1"/>
    <col min="11526" max="11526" width="11.25" style="49" customWidth="1"/>
    <col min="11527" max="11527" width="9.375" style="49" customWidth="1"/>
    <col min="11528" max="11528" width="7" style="49" customWidth="1"/>
    <col min="11529" max="11529" width="5.625" style="49" customWidth="1"/>
    <col min="11530" max="11530" width="5.125" style="49" customWidth="1"/>
    <col min="11531" max="11531" width="5.625" style="49" customWidth="1"/>
    <col min="11532" max="11532" width="11.75" style="49" customWidth="1"/>
    <col min="11533" max="11533" width="5.125" style="49" customWidth="1"/>
    <col min="11534" max="11534" width="5.625" style="49" customWidth="1"/>
    <col min="11535" max="11535" width="11.75" style="49" customWidth="1"/>
    <col min="11777" max="11777" width="5.125" style="49" customWidth="1"/>
    <col min="11778" max="11778" width="8.875" style="49" customWidth="1"/>
    <col min="11779" max="11779" width="15.5" style="49" customWidth="1"/>
    <col min="11780" max="11780" width="8" style="49" customWidth="1"/>
    <col min="11781" max="11781" width="16.875" style="49" customWidth="1"/>
    <col min="11782" max="11782" width="11.25" style="49" customWidth="1"/>
    <col min="11783" max="11783" width="9.375" style="49" customWidth="1"/>
    <col min="11784" max="11784" width="7" style="49" customWidth="1"/>
    <col min="11785" max="11785" width="5.625" style="49" customWidth="1"/>
    <col min="11786" max="11786" width="5.125" style="49" customWidth="1"/>
    <col min="11787" max="11787" width="5.625" style="49" customWidth="1"/>
    <col min="11788" max="11788" width="11.75" style="49" customWidth="1"/>
    <col min="11789" max="11789" width="5.125" style="49" customWidth="1"/>
    <col min="11790" max="11790" width="5.625" style="49" customWidth="1"/>
    <col min="11791" max="11791" width="11.75" style="49" customWidth="1"/>
    <col min="12033" max="12033" width="5.125" style="49" customWidth="1"/>
    <col min="12034" max="12034" width="8.875" style="49" customWidth="1"/>
    <col min="12035" max="12035" width="15.5" style="49" customWidth="1"/>
    <col min="12036" max="12036" width="8" style="49" customWidth="1"/>
    <col min="12037" max="12037" width="16.875" style="49" customWidth="1"/>
    <col min="12038" max="12038" width="11.25" style="49" customWidth="1"/>
    <col min="12039" max="12039" width="9.375" style="49" customWidth="1"/>
    <col min="12040" max="12040" width="7" style="49" customWidth="1"/>
    <col min="12041" max="12041" width="5.625" style="49" customWidth="1"/>
    <col min="12042" max="12042" width="5.125" style="49" customWidth="1"/>
    <col min="12043" max="12043" width="5.625" style="49" customWidth="1"/>
    <col min="12044" max="12044" width="11.75" style="49" customWidth="1"/>
    <col min="12045" max="12045" width="5.125" style="49" customWidth="1"/>
    <col min="12046" max="12046" width="5.625" style="49" customWidth="1"/>
    <col min="12047" max="12047" width="11.75" style="49" customWidth="1"/>
    <col min="12289" max="12289" width="5.125" style="49" customWidth="1"/>
    <col min="12290" max="12290" width="8.875" style="49" customWidth="1"/>
    <col min="12291" max="12291" width="15.5" style="49" customWidth="1"/>
    <col min="12292" max="12292" width="8" style="49" customWidth="1"/>
    <col min="12293" max="12293" width="16.875" style="49" customWidth="1"/>
    <col min="12294" max="12294" width="11.25" style="49" customWidth="1"/>
    <col min="12295" max="12295" width="9.375" style="49" customWidth="1"/>
    <col min="12296" max="12296" width="7" style="49" customWidth="1"/>
    <col min="12297" max="12297" width="5.625" style="49" customWidth="1"/>
    <col min="12298" max="12298" width="5.125" style="49" customWidth="1"/>
    <col min="12299" max="12299" width="5.625" style="49" customWidth="1"/>
    <col min="12300" max="12300" width="11.75" style="49" customWidth="1"/>
    <col min="12301" max="12301" width="5.125" style="49" customWidth="1"/>
    <col min="12302" max="12302" width="5.625" style="49" customWidth="1"/>
    <col min="12303" max="12303" width="11.75" style="49" customWidth="1"/>
    <col min="12545" max="12545" width="5.125" style="49" customWidth="1"/>
    <col min="12546" max="12546" width="8.875" style="49" customWidth="1"/>
    <col min="12547" max="12547" width="15.5" style="49" customWidth="1"/>
    <col min="12548" max="12548" width="8" style="49" customWidth="1"/>
    <col min="12549" max="12549" width="16.875" style="49" customWidth="1"/>
    <col min="12550" max="12550" width="11.25" style="49" customWidth="1"/>
    <col min="12551" max="12551" width="9.375" style="49" customWidth="1"/>
    <col min="12552" max="12552" width="7" style="49" customWidth="1"/>
    <col min="12553" max="12553" width="5.625" style="49" customWidth="1"/>
    <col min="12554" max="12554" width="5.125" style="49" customWidth="1"/>
    <col min="12555" max="12555" width="5.625" style="49" customWidth="1"/>
    <col min="12556" max="12556" width="11.75" style="49" customWidth="1"/>
    <col min="12557" max="12557" width="5.125" style="49" customWidth="1"/>
    <col min="12558" max="12558" width="5.625" style="49" customWidth="1"/>
    <col min="12559" max="12559" width="11.75" style="49" customWidth="1"/>
    <col min="12801" max="12801" width="5.125" style="49" customWidth="1"/>
    <col min="12802" max="12802" width="8.875" style="49" customWidth="1"/>
    <col min="12803" max="12803" width="15.5" style="49" customWidth="1"/>
    <col min="12804" max="12804" width="8" style="49" customWidth="1"/>
    <col min="12805" max="12805" width="16.875" style="49" customWidth="1"/>
    <col min="12806" max="12806" width="11.25" style="49" customWidth="1"/>
    <col min="12807" max="12807" width="9.375" style="49" customWidth="1"/>
    <col min="12808" max="12808" width="7" style="49" customWidth="1"/>
    <col min="12809" max="12809" width="5.625" style="49" customWidth="1"/>
    <col min="12810" max="12810" width="5.125" style="49" customWidth="1"/>
    <col min="12811" max="12811" width="5.625" style="49" customWidth="1"/>
    <col min="12812" max="12812" width="11.75" style="49" customWidth="1"/>
    <col min="12813" max="12813" width="5.125" style="49" customWidth="1"/>
    <col min="12814" max="12814" width="5.625" style="49" customWidth="1"/>
    <col min="12815" max="12815" width="11.75" style="49" customWidth="1"/>
    <col min="13057" max="13057" width="5.125" style="49" customWidth="1"/>
    <col min="13058" max="13058" width="8.875" style="49" customWidth="1"/>
    <col min="13059" max="13059" width="15.5" style="49" customWidth="1"/>
    <col min="13060" max="13060" width="8" style="49" customWidth="1"/>
    <col min="13061" max="13061" width="16.875" style="49" customWidth="1"/>
    <col min="13062" max="13062" width="11.25" style="49" customWidth="1"/>
    <col min="13063" max="13063" width="9.375" style="49" customWidth="1"/>
    <col min="13064" max="13064" width="7" style="49" customWidth="1"/>
    <col min="13065" max="13065" width="5.625" style="49" customWidth="1"/>
    <col min="13066" max="13066" width="5.125" style="49" customWidth="1"/>
    <col min="13067" max="13067" width="5.625" style="49" customWidth="1"/>
    <col min="13068" max="13068" width="11.75" style="49" customWidth="1"/>
    <col min="13069" max="13069" width="5.125" style="49" customWidth="1"/>
    <col min="13070" max="13070" width="5.625" style="49" customWidth="1"/>
    <col min="13071" max="13071" width="11.75" style="49" customWidth="1"/>
    <col min="13313" max="13313" width="5.125" style="49" customWidth="1"/>
    <col min="13314" max="13314" width="8.875" style="49" customWidth="1"/>
    <col min="13315" max="13315" width="15.5" style="49" customWidth="1"/>
    <col min="13316" max="13316" width="8" style="49" customWidth="1"/>
    <col min="13317" max="13317" width="16.875" style="49" customWidth="1"/>
    <col min="13318" max="13318" width="11.25" style="49" customWidth="1"/>
    <col min="13319" max="13319" width="9.375" style="49" customWidth="1"/>
    <col min="13320" max="13320" width="7" style="49" customWidth="1"/>
    <col min="13321" max="13321" width="5.625" style="49" customWidth="1"/>
    <col min="13322" max="13322" width="5.125" style="49" customWidth="1"/>
    <col min="13323" max="13323" width="5.625" style="49" customWidth="1"/>
    <col min="13324" max="13324" width="11.75" style="49" customWidth="1"/>
    <col min="13325" max="13325" width="5.125" style="49" customWidth="1"/>
    <col min="13326" max="13326" width="5.625" style="49" customWidth="1"/>
    <col min="13327" max="13327" width="11.75" style="49" customWidth="1"/>
    <col min="13569" max="13569" width="5.125" style="49" customWidth="1"/>
    <col min="13570" max="13570" width="8.875" style="49" customWidth="1"/>
    <col min="13571" max="13571" width="15.5" style="49" customWidth="1"/>
    <col min="13572" max="13572" width="8" style="49" customWidth="1"/>
    <col min="13573" max="13573" width="16.875" style="49" customWidth="1"/>
    <col min="13574" max="13574" width="11.25" style="49" customWidth="1"/>
    <col min="13575" max="13575" width="9.375" style="49" customWidth="1"/>
    <col min="13576" max="13576" width="7" style="49" customWidth="1"/>
    <col min="13577" max="13577" width="5.625" style="49" customWidth="1"/>
    <col min="13578" max="13578" width="5.125" style="49" customWidth="1"/>
    <col min="13579" max="13579" width="5.625" style="49" customWidth="1"/>
    <col min="13580" max="13580" width="11.75" style="49" customWidth="1"/>
    <col min="13581" max="13581" width="5.125" style="49" customWidth="1"/>
    <col min="13582" max="13582" width="5.625" style="49" customWidth="1"/>
    <col min="13583" max="13583" width="11.75" style="49" customWidth="1"/>
    <col min="13825" max="13825" width="5.125" style="49" customWidth="1"/>
    <col min="13826" max="13826" width="8.875" style="49" customWidth="1"/>
    <col min="13827" max="13827" width="15.5" style="49" customWidth="1"/>
    <col min="13828" max="13828" width="8" style="49" customWidth="1"/>
    <col min="13829" max="13829" width="16.875" style="49" customWidth="1"/>
    <col min="13830" max="13830" width="11.25" style="49" customWidth="1"/>
    <col min="13831" max="13831" width="9.375" style="49" customWidth="1"/>
    <col min="13832" max="13832" width="7" style="49" customWidth="1"/>
    <col min="13833" max="13833" width="5.625" style="49" customWidth="1"/>
    <col min="13834" max="13834" width="5.125" style="49" customWidth="1"/>
    <col min="13835" max="13835" width="5.625" style="49" customWidth="1"/>
    <col min="13836" max="13836" width="11.75" style="49" customWidth="1"/>
    <col min="13837" max="13837" width="5.125" style="49" customWidth="1"/>
    <col min="13838" max="13838" width="5.625" style="49" customWidth="1"/>
    <col min="13839" max="13839" width="11.75" style="49" customWidth="1"/>
    <col min="14081" max="14081" width="5.125" style="49" customWidth="1"/>
    <col min="14082" max="14082" width="8.875" style="49" customWidth="1"/>
    <col min="14083" max="14083" width="15.5" style="49" customWidth="1"/>
    <col min="14084" max="14084" width="8" style="49" customWidth="1"/>
    <col min="14085" max="14085" width="16.875" style="49" customWidth="1"/>
    <col min="14086" max="14086" width="11.25" style="49" customWidth="1"/>
    <col min="14087" max="14087" width="9.375" style="49" customWidth="1"/>
    <col min="14088" max="14088" width="7" style="49" customWidth="1"/>
    <col min="14089" max="14089" width="5.625" style="49" customWidth="1"/>
    <col min="14090" max="14090" width="5.125" style="49" customWidth="1"/>
    <col min="14091" max="14091" width="5.625" style="49" customWidth="1"/>
    <col min="14092" max="14092" width="11.75" style="49" customWidth="1"/>
    <col min="14093" max="14093" width="5.125" style="49" customWidth="1"/>
    <col min="14094" max="14094" width="5.625" style="49" customWidth="1"/>
    <col min="14095" max="14095" width="11.75" style="49" customWidth="1"/>
    <col min="14337" max="14337" width="5.125" style="49" customWidth="1"/>
    <col min="14338" max="14338" width="8.875" style="49" customWidth="1"/>
    <col min="14339" max="14339" width="15.5" style="49" customWidth="1"/>
    <col min="14340" max="14340" width="8" style="49" customWidth="1"/>
    <col min="14341" max="14341" width="16.875" style="49" customWidth="1"/>
    <col min="14342" max="14342" width="11.25" style="49" customWidth="1"/>
    <col min="14343" max="14343" width="9.375" style="49" customWidth="1"/>
    <col min="14344" max="14344" width="7" style="49" customWidth="1"/>
    <col min="14345" max="14345" width="5.625" style="49" customWidth="1"/>
    <col min="14346" max="14346" width="5.125" style="49" customWidth="1"/>
    <col min="14347" max="14347" width="5.625" style="49" customWidth="1"/>
    <col min="14348" max="14348" width="11.75" style="49" customWidth="1"/>
    <col min="14349" max="14349" width="5.125" style="49" customWidth="1"/>
    <col min="14350" max="14350" width="5.625" style="49" customWidth="1"/>
    <col min="14351" max="14351" width="11.75" style="49" customWidth="1"/>
    <col min="14593" max="14593" width="5.125" style="49" customWidth="1"/>
    <col min="14594" max="14594" width="8.875" style="49" customWidth="1"/>
    <col min="14595" max="14595" width="15.5" style="49" customWidth="1"/>
    <col min="14596" max="14596" width="8" style="49" customWidth="1"/>
    <col min="14597" max="14597" width="16.875" style="49" customWidth="1"/>
    <col min="14598" max="14598" width="11.25" style="49" customWidth="1"/>
    <col min="14599" max="14599" width="9.375" style="49" customWidth="1"/>
    <col min="14600" max="14600" width="7" style="49" customWidth="1"/>
    <col min="14601" max="14601" width="5.625" style="49" customWidth="1"/>
    <col min="14602" max="14602" width="5.125" style="49" customWidth="1"/>
    <col min="14603" max="14603" width="5.625" style="49" customWidth="1"/>
    <col min="14604" max="14604" width="11.75" style="49" customWidth="1"/>
    <col min="14605" max="14605" width="5.125" style="49" customWidth="1"/>
    <col min="14606" max="14606" width="5.625" style="49" customWidth="1"/>
    <col min="14607" max="14607" width="11.75" style="49" customWidth="1"/>
    <col min="14849" max="14849" width="5.125" style="49" customWidth="1"/>
    <col min="14850" max="14850" width="8.875" style="49" customWidth="1"/>
    <col min="14851" max="14851" width="15.5" style="49" customWidth="1"/>
    <col min="14852" max="14852" width="8" style="49" customWidth="1"/>
    <col min="14853" max="14853" width="16.875" style="49" customWidth="1"/>
    <col min="14854" max="14854" width="11.25" style="49" customWidth="1"/>
    <col min="14855" max="14855" width="9.375" style="49" customWidth="1"/>
    <col min="14856" max="14856" width="7" style="49" customWidth="1"/>
    <col min="14857" max="14857" width="5.625" style="49" customWidth="1"/>
    <col min="14858" max="14858" width="5.125" style="49" customWidth="1"/>
    <col min="14859" max="14859" width="5.625" style="49" customWidth="1"/>
    <col min="14860" max="14860" width="11.75" style="49" customWidth="1"/>
    <col min="14861" max="14861" width="5.125" style="49" customWidth="1"/>
    <col min="14862" max="14862" width="5.625" style="49" customWidth="1"/>
    <col min="14863" max="14863" width="11.75" style="49" customWidth="1"/>
    <col min="15105" max="15105" width="5.125" style="49" customWidth="1"/>
    <col min="15106" max="15106" width="8.875" style="49" customWidth="1"/>
    <col min="15107" max="15107" width="15.5" style="49" customWidth="1"/>
    <col min="15108" max="15108" width="8" style="49" customWidth="1"/>
    <col min="15109" max="15109" width="16.875" style="49" customWidth="1"/>
    <col min="15110" max="15110" width="11.25" style="49" customWidth="1"/>
    <col min="15111" max="15111" width="9.375" style="49" customWidth="1"/>
    <col min="15112" max="15112" width="7" style="49" customWidth="1"/>
    <col min="15113" max="15113" width="5.625" style="49" customWidth="1"/>
    <col min="15114" max="15114" width="5.125" style="49" customWidth="1"/>
    <col min="15115" max="15115" width="5.625" style="49" customWidth="1"/>
    <col min="15116" max="15116" width="11.75" style="49" customWidth="1"/>
    <col min="15117" max="15117" width="5.125" style="49" customWidth="1"/>
    <col min="15118" max="15118" width="5.625" style="49" customWidth="1"/>
    <col min="15119" max="15119" width="11.75" style="49" customWidth="1"/>
    <col min="15361" max="15361" width="5.125" style="49" customWidth="1"/>
    <col min="15362" max="15362" width="8.875" style="49" customWidth="1"/>
    <col min="15363" max="15363" width="15.5" style="49" customWidth="1"/>
    <col min="15364" max="15364" width="8" style="49" customWidth="1"/>
    <col min="15365" max="15365" width="16.875" style="49" customWidth="1"/>
    <col min="15366" max="15366" width="11.25" style="49" customWidth="1"/>
    <col min="15367" max="15367" width="9.375" style="49" customWidth="1"/>
    <col min="15368" max="15368" width="7" style="49" customWidth="1"/>
    <col min="15369" max="15369" width="5.625" style="49" customWidth="1"/>
    <col min="15370" max="15370" width="5.125" style="49" customWidth="1"/>
    <col min="15371" max="15371" width="5.625" style="49" customWidth="1"/>
    <col min="15372" max="15372" width="11.75" style="49" customWidth="1"/>
    <col min="15373" max="15373" width="5.125" style="49" customWidth="1"/>
    <col min="15374" max="15374" width="5.625" style="49" customWidth="1"/>
    <col min="15375" max="15375" width="11.75" style="49" customWidth="1"/>
    <col min="15617" max="15617" width="5.125" style="49" customWidth="1"/>
    <col min="15618" max="15618" width="8.875" style="49" customWidth="1"/>
    <col min="15619" max="15619" width="15.5" style="49" customWidth="1"/>
    <col min="15620" max="15620" width="8" style="49" customWidth="1"/>
    <col min="15621" max="15621" width="16.875" style="49" customWidth="1"/>
    <col min="15622" max="15622" width="11.25" style="49" customWidth="1"/>
    <col min="15623" max="15623" width="9.375" style="49" customWidth="1"/>
    <col min="15624" max="15624" width="7" style="49" customWidth="1"/>
    <col min="15625" max="15625" width="5.625" style="49" customWidth="1"/>
    <col min="15626" max="15626" width="5.125" style="49" customWidth="1"/>
    <col min="15627" max="15627" width="5.625" style="49" customWidth="1"/>
    <col min="15628" max="15628" width="11.75" style="49" customWidth="1"/>
    <col min="15629" max="15629" width="5.125" style="49" customWidth="1"/>
    <col min="15630" max="15630" width="5.625" style="49" customWidth="1"/>
    <col min="15631" max="15631" width="11.75" style="49" customWidth="1"/>
    <col min="15873" max="15873" width="5.125" style="49" customWidth="1"/>
    <col min="15874" max="15874" width="8.875" style="49" customWidth="1"/>
    <col min="15875" max="15875" width="15.5" style="49" customWidth="1"/>
    <col min="15876" max="15876" width="8" style="49" customWidth="1"/>
    <col min="15877" max="15877" width="16.875" style="49" customWidth="1"/>
    <col min="15878" max="15878" width="11.25" style="49" customWidth="1"/>
    <col min="15879" max="15879" width="9.375" style="49" customWidth="1"/>
    <col min="15880" max="15880" width="7" style="49" customWidth="1"/>
    <col min="15881" max="15881" width="5.625" style="49" customWidth="1"/>
    <col min="15882" max="15882" width="5.125" style="49" customWidth="1"/>
    <col min="15883" max="15883" width="5.625" style="49" customWidth="1"/>
    <col min="15884" max="15884" width="11.75" style="49" customWidth="1"/>
    <col min="15885" max="15885" width="5.125" style="49" customWidth="1"/>
    <col min="15886" max="15886" width="5.625" style="49" customWidth="1"/>
    <col min="15887" max="15887" width="11.75" style="49" customWidth="1"/>
    <col min="16129" max="16129" width="5.125" style="49" customWidth="1"/>
    <col min="16130" max="16130" width="8.875" style="49" customWidth="1"/>
    <col min="16131" max="16131" width="15.5" style="49" customWidth="1"/>
    <col min="16132" max="16132" width="8" style="49" customWidth="1"/>
    <col min="16133" max="16133" width="16.875" style="49" customWidth="1"/>
    <col min="16134" max="16134" width="11.25" style="49" customWidth="1"/>
    <col min="16135" max="16135" width="9.375" style="49" customWidth="1"/>
    <col min="16136" max="16136" width="7" style="49" customWidth="1"/>
    <col min="16137" max="16137" width="5.625" style="49" customWidth="1"/>
    <col min="16138" max="16138" width="5.125" style="49" customWidth="1"/>
    <col min="16139" max="16139" width="5.625" style="49" customWidth="1"/>
    <col min="16140" max="16140" width="11.75" style="49" customWidth="1"/>
    <col min="16141" max="16141" width="5.125" style="49" customWidth="1"/>
    <col min="16142" max="16142" width="5.625" style="49" customWidth="1"/>
    <col min="16143" max="16143" width="11.75" style="49" customWidth="1"/>
  </cols>
  <sheetData>
    <row r="1" spans="1:15" ht="25.7" customHeight="1" x14ac:dyDescent="0.3">
      <c r="A1" s="27" t="s">
        <v>388</v>
      </c>
      <c r="B1" s="27" t="s">
        <v>389</v>
      </c>
      <c r="C1" s="27" t="s">
        <v>68</v>
      </c>
      <c r="D1" s="27" t="s">
        <v>390</v>
      </c>
      <c r="E1" s="27" t="s">
        <v>391</v>
      </c>
      <c r="F1" s="27" t="s">
        <v>392</v>
      </c>
      <c r="G1" s="27" t="s">
        <v>393</v>
      </c>
      <c r="H1" s="27" t="s">
        <v>394</v>
      </c>
      <c r="I1" s="27" t="s">
        <v>395</v>
      </c>
      <c r="J1" s="27" t="s">
        <v>396</v>
      </c>
      <c r="K1" s="27" t="s">
        <v>397</v>
      </c>
      <c r="L1" s="27" t="s">
        <v>383</v>
      </c>
      <c r="M1" s="27" t="s">
        <v>398</v>
      </c>
      <c r="N1" s="27" t="s">
        <v>399</v>
      </c>
      <c r="O1" s="27" t="s">
        <v>400</v>
      </c>
    </row>
    <row r="2" spans="1:15" ht="22.9" customHeight="1" x14ac:dyDescent="0.3">
      <c r="A2" s="28" t="s">
        <v>401</v>
      </c>
      <c r="B2" s="28" t="s">
        <v>402</v>
      </c>
      <c r="C2" s="28" t="s">
        <v>403</v>
      </c>
      <c r="D2" s="28" t="s">
        <v>404</v>
      </c>
      <c r="E2" s="29" t="s">
        <v>405</v>
      </c>
      <c r="F2" s="31">
        <v>19668</v>
      </c>
      <c r="G2" s="35">
        <v>0</v>
      </c>
      <c r="H2" s="29" t="s">
        <v>406</v>
      </c>
      <c r="I2" s="28" t="s">
        <v>201</v>
      </c>
      <c r="J2" s="36">
        <v>0</v>
      </c>
      <c r="K2" s="36">
        <v>0</v>
      </c>
      <c r="L2" s="31">
        <v>19668</v>
      </c>
      <c r="M2" s="35">
        <v>0</v>
      </c>
      <c r="N2" s="35">
        <v>0</v>
      </c>
      <c r="O2" s="35">
        <v>0</v>
      </c>
    </row>
    <row r="3" spans="1:15" ht="22.9" customHeight="1" x14ac:dyDescent="0.3">
      <c r="A3" s="28" t="s">
        <v>407</v>
      </c>
      <c r="B3" s="28" t="s">
        <v>402</v>
      </c>
      <c r="C3" s="28" t="s">
        <v>403</v>
      </c>
      <c r="D3" s="28" t="s">
        <v>404</v>
      </c>
      <c r="E3" s="29" t="s">
        <v>405</v>
      </c>
      <c r="F3" s="31">
        <v>19668</v>
      </c>
      <c r="G3" s="35">
        <v>0</v>
      </c>
      <c r="H3" s="29" t="s">
        <v>406</v>
      </c>
      <c r="I3" s="28" t="s">
        <v>201</v>
      </c>
      <c r="J3" s="36">
        <v>0</v>
      </c>
      <c r="K3" s="36">
        <v>0</v>
      </c>
      <c r="L3" s="31">
        <v>19668</v>
      </c>
      <c r="M3" s="35">
        <v>0</v>
      </c>
      <c r="N3" s="35">
        <v>0</v>
      </c>
      <c r="O3" s="35">
        <v>0</v>
      </c>
    </row>
    <row r="4" spans="1:15" ht="22.9" customHeight="1" x14ac:dyDescent="0.3">
      <c r="A4" s="28" t="s">
        <v>408</v>
      </c>
      <c r="B4" s="28" t="s">
        <v>402</v>
      </c>
      <c r="C4" s="28" t="s">
        <v>403</v>
      </c>
      <c r="D4" s="28" t="s">
        <v>404</v>
      </c>
      <c r="E4" s="29" t="s">
        <v>405</v>
      </c>
      <c r="F4" s="31">
        <v>19668</v>
      </c>
      <c r="G4" s="35">
        <v>0</v>
      </c>
      <c r="H4" s="29" t="s">
        <v>406</v>
      </c>
      <c r="I4" s="28" t="s">
        <v>201</v>
      </c>
      <c r="J4" s="36">
        <v>0</v>
      </c>
      <c r="K4" s="36">
        <v>0</v>
      </c>
      <c r="L4" s="31">
        <v>19668</v>
      </c>
      <c r="M4" s="35">
        <v>0</v>
      </c>
      <c r="N4" s="35">
        <v>0</v>
      </c>
      <c r="O4" s="35">
        <v>0</v>
      </c>
    </row>
    <row r="5" spans="1:15" ht="22.9" customHeight="1" x14ac:dyDescent="0.3">
      <c r="A5" s="28" t="s">
        <v>409</v>
      </c>
      <c r="B5" s="28" t="s">
        <v>402</v>
      </c>
      <c r="C5" s="28" t="s">
        <v>403</v>
      </c>
      <c r="D5" s="28" t="s">
        <v>404</v>
      </c>
      <c r="E5" s="29" t="s">
        <v>141</v>
      </c>
      <c r="F5" s="31">
        <v>541100</v>
      </c>
      <c r="G5" s="35">
        <v>0</v>
      </c>
      <c r="H5" s="29" t="s">
        <v>406</v>
      </c>
      <c r="I5" s="28" t="s">
        <v>201</v>
      </c>
      <c r="J5" s="36">
        <v>0</v>
      </c>
      <c r="K5" s="36">
        <v>0</v>
      </c>
      <c r="L5" s="31">
        <v>541100</v>
      </c>
      <c r="M5" s="35">
        <v>0</v>
      </c>
      <c r="N5" s="35">
        <v>0</v>
      </c>
      <c r="O5" s="35">
        <v>0</v>
      </c>
    </row>
    <row r="6" spans="1:15" ht="22.9" customHeight="1" x14ac:dyDescent="0.3">
      <c r="A6" s="28" t="s">
        <v>410</v>
      </c>
      <c r="B6" s="28" t="s">
        <v>402</v>
      </c>
      <c r="C6" s="28" t="s">
        <v>403</v>
      </c>
      <c r="D6" s="28" t="s">
        <v>404</v>
      </c>
      <c r="E6" s="29" t="s">
        <v>141</v>
      </c>
      <c r="F6" s="31">
        <v>541100</v>
      </c>
      <c r="G6" s="35">
        <v>0</v>
      </c>
      <c r="H6" s="29" t="s">
        <v>406</v>
      </c>
      <c r="I6" s="28" t="s">
        <v>201</v>
      </c>
      <c r="J6" s="36">
        <v>0</v>
      </c>
      <c r="K6" s="36">
        <v>0</v>
      </c>
      <c r="L6" s="31">
        <v>541100</v>
      </c>
      <c r="M6" s="35">
        <v>0</v>
      </c>
      <c r="N6" s="35">
        <v>0</v>
      </c>
      <c r="O6" s="35">
        <v>0</v>
      </c>
    </row>
    <row r="7" spans="1:15" ht="22.9" customHeight="1" x14ac:dyDescent="0.3">
      <c r="A7" s="28" t="s">
        <v>411</v>
      </c>
      <c r="B7" s="28" t="s">
        <v>402</v>
      </c>
      <c r="C7" s="28" t="s">
        <v>403</v>
      </c>
      <c r="D7" s="28" t="s">
        <v>404</v>
      </c>
      <c r="E7" s="29" t="s">
        <v>141</v>
      </c>
      <c r="F7" s="31">
        <v>541100</v>
      </c>
      <c r="G7" s="35">
        <v>0</v>
      </c>
      <c r="H7" s="29" t="s">
        <v>406</v>
      </c>
      <c r="I7" s="28" t="s">
        <v>201</v>
      </c>
      <c r="J7" s="36">
        <v>0</v>
      </c>
      <c r="K7" s="36">
        <v>0</v>
      </c>
      <c r="L7" s="31">
        <v>541100</v>
      </c>
      <c r="M7" s="35">
        <v>0</v>
      </c>
      <c r="N7" s="35">
        <v>0</v>
      </c>
      <c r="O7" s="35">
        <v>0</v>
      </c>
    </row>
    <row r="8" spans="1:15" ht="22.9" customHeight="1" x14ac:dyDescent="0.3">
      <c r="A8" s="28" t="s">
        <v>412</v>
      </c>
      <c r="B8" s="28" t="s">
        <v>402</v>
      </c>
      <c r="C8" s="28" t="s">
        <v>403</v>
      </c>
      <c r="D8" s="28" t="s">
        <v>413</v>
      </c>
      <c r="E8" s="29" t="s">
        <v>405</v>
      </c>
      <c r="F8" s="31">
        <v>38451</v>
      </c>
      <c r="G8" s="35">
        <v>0</v>
      </c>
      <c r="H8" s="29" t="s">
        <v>406</v>
      </c>
      <c r="I8" s="28" t="s">
        <v>201</v>
      </c>
      <c r="J8" s="36">
        <v>0</v>
      </c>
      <c r="K8" s="36">
        <v>0</v>
      </c>
      <c r="L8" s="31">
        <v>38451</v>
      </c>
      <c r="M8" s="35">
        <v>0</v>
      </c>
      <c r="N8" s="35">
        <v>0</v>
      </c>
      <c r="O8" s="35">
        <v>0</v>
      </c>
    </row>
    <row r="9" spans="1:15" ht="22.9" customHeight="1" x14ac:dyDescent="0.3">
      <c r="A9" s="28" t="s">
        <v>414</v>
      </c>
      <c r="B9" s="28" t="s">
        <v>402</v>
      </c>
      <c r="C9" s="28" t="s">
        <v>403</v>
      </c>
      <c r="D9" s="28" t="s">
        <v>413</v>
      </c>
      <c r="E9" s="29" t="s">
        <v>89</v>
      </c>
      <c r="F9" s="31">
        <v>964200</v>
      </c>
      <c r="G9" s="35">
        <v>0</v>
      </c>
      <c r="H9" s="29" t="s">
        <v>406</v>
      </c>
      <c r="I9" s="28" t="s">
        <v>201</v>
      </c>
      <c r="J9" s="36">
        <v>0</v>
      </c>
      <c r="K9" s="36">
        <v>0</v>
      </c>
      <c r="L9" s="31">
        <v>964200</v>
      </c>
      <c r="M9" s="35">
        <v>0</v>
      </c>
      <c r="N9" s="35">
        <v>0</v>
      </c>
      <c r="O9" s="35">
        <v>0</v>
      </c>
    </row>
    <row r="10" spans="1:15" ht="22.9" customHeight="1" x14ac:dyDescent="0.3">
      <c r="A10" s="28" t="s">
        <v>415</v>
      </c>
      <c r="B10" s="28" t="s">
        <v>402</v>
      </c>
      <c r="C10" s="28" t="s">
        <v>403</v>
      </c>
      <c r="D10" s="28" t="s">
        <v>416</v>
      </c>
      <c r="E10" s="29" t="s">
        <v>405</v>
      </c>
      <c r="F10" s="31">
        <v>21164</v>
      </c>
      <c r="G10" s="35">
        <v>0</v>
      </c>
      <c r="H10" s="29" t="s">
        <v>406</v>
      </c>
      <c r="I10" s="28" t="s">
        <v>201</v>
      </c>
      <c r="J10" s="36">
        <v>0</v>
      </c>
      <c r="K10" s="36">
        <v>0</v>
      </c>
      <c r="L10" s="31">
        <v>21164</v>
      </c>
      <c r="M10" s="35">
        <v>0</v>
      </c>
      <c r="N10" s="35">
        <v>0</v>
      </c>
      <c r="O10" s="35">
        <v>0</v>
      </c>
    </row>
    <row r="11" spans="1:15" ht="22.9" customHeight="1" x14ac:dyDescent="0.3">
      <c r="A11" s="28" t="s">
        <v>417</v>
      </c>
      <c r="B11" s="28" t="s">
        <v>402</v>
      </c>
      <c r="C11" s="28" t="s">
        <v>403</v>
      </c>
      <c r="D11" s="28" t="s">
        <v>416</v>
      </c>
      <c r="E11" s="29" t="s">
        <v>136</v>
      </c>
      <c r="F11" s="31">
        <v>496200</v>
      </c>
      <c r="G11" s="35">
        <v>0</v>
      </c>
      <c r="H11" s="29" t="s">
        <v>406</v>
      </c>
      <c r="I11" s="28" t="s">
        <v>201</v>
      </c>
      <c r="J11" s="36">
        <v>0</v>
      </c>
      <c r="K11" s="36">
        <v>0</v>
      </c>
      <c r="L11" s="31">
        <v>496200</v>
      </c>
      <c r="M11" s="35">
        <v>0</v>
      </c>
      <c r="N11" s="35">
        <v>0</v>
      </c>
      <c r="O11" s="35">
        <v>0</v>
      </c>
    </row>
    <row r="12" spans="1:15" ht="22.9" customHeight="1" x14ac:dyDescent="0.3">
      <c r="A12" s="28" t="s">
        <v>418</v>
      </c>
      <c r="B12" s="28" t="s">
        <v>402</v>
      </c>
      <c r="C12" s="28" t="s">
        <v>403</v>
      </c>
      <c r="D12" s="28" t="s">
        <v>419</v>
      </c>
      <c r="E12" s="29" t="s">
        <v>405</v>
      </c>
      <c r="F12" s="31">
        <v>24684</v>
      </c>
      <c r="G12" s="35">
        <v>0</v>
      </c>
      <c r="H12" s="29" t="s">
        <v>406</v>
      </c>
      <c r="I12" s="28" t="s">
        <v>201</v>
      </c>
      <c r="J12" s="36">
        <v>0</v>
      </c>
      <c r="K12" s="36">
        <v>0</v>
      </c>
      <c r="L12" s="31">
        <v>24684</v>
      </c>
      <c r="M12" s="35">
        <v>0</v>
      </c>
      <c r="N12" s="35">
        <v>0</v>
      </c>
      <c r="O12" s="35">
        <v>0</v>
      </c>
    </row>
    <row r="13" spans="1:15" ht="22.9" customHeight="1" x14ac:dyDescent="0.3">
      <c r="A13" s="28" t="s">
        <v>420</v>
      </c>
      <c r="B13" s="28" t="s">
        <v>402</v>
      </c>
      <c r="C13" s="28" t="s">
        <v>403</v>
      </c>
      <c r="D13" s="28" t="s">
        <v>419</v>
      </c>
      <c r="E13" s="29" t="s">
        <v>136</v>
      </c>
      <c r="F13" s="31">
        <v>24400</v>
      </c>
      <c r="G13" s="35">
        <v>0</v>
      </c>
      <c r="H13" s="29" t="s">
        <v>406</v>
      </c>
      <c r="I13" s="28" t="s">
        <v>201</v>
      </c>
      <c r="J13" s="36">
        <v>0</v>
      </c>
      <c r="K13" s="36">
        <v>0</v>
      </c>
      <c r="L13" s="31">
        <v>24400</v>
      </c>
      <c r="M13" s="35">
        <v>0</v>
      </c>
      <c r="N13" s="35">
        <v>0</v>
      </c>
      <c r="O13" s="35">
        <v>0</v>
      </c>
    </row>
    <row r="14" spans="1:15" ht="22.9" customHeight="1" x14ac:dyDescent="0.3">
      <c r="A14" s="28" t="s">
        <v>421</v>
      </c>
      <c r="B14" s="28" t="s">
        <v>402</v>
      </c>
      <c r="C14" s="28" t="s">
        <v>403</v>
      </c>
      <c r="D14" s="28" t="s">
        <v>419</v>
      </c>
      <c r="E14" s="29" t="s">
        <v>141</v>
      </c>
      <c r="F14" s="31">
        <v>655600</v>
      </c>
      <c r="G14" s="35">
        <v>0</v>
      </c>
      <c r="H14" s="29" t="s">
        <v>406</v>
      </c>
      <c r="I14" s="28" t="s">
        <v>201</v>
      </c>
      <c r="J14" s="36">
        <v>0</v>
      </c>
      <c r="K14" s="36">
        <v>0</v>
      </c>
      <c r="L14" s="31">
        <v>655600</v>
      </c>
      <c r="M14" s="35">
        <v>0</v>
      </c>
      <c r="N14" s="35">
        <v>0</v>
      </c>
      <c r="O14" s="35">
        <v>0</v>
      </c>
    </row>
    <row r="15" spans="1:15" ht="22.9" customHeight="1" x14ac:dyDescent="0.3">
      <c r="A15" s="28" t="s">
        <v>422</v>
      </c>
      <c r="B15" s="28" t="s">
        <v>402</v>
      </c>
      <c r="C15" s="28" t="s">
        <v>403</v>
      </c>
      <c r="D15" s="28" t="s">
        <v>423</v>
      </c>
      <c r="E15" s="29" t="s">
        <v>104</v>
      </c>
      <c r="F15" s="31">
        <v>711200</v>
      </c>
      <c r="G15" s="35">
        <v>0</v>
      </c>
      <c r="H15" s="29" t="s">
        <v>406</v>
      </c>
      <c r="I15" s="28" t="s">
        <v>201</v>
      </c>
      <c r="J15" s="36">
        <v>0</v>
      </c>
      <c r="K15" s="36">
        <v>0</v>
      </c>
      <c r="L15" s="31">
        <v>711200</v>
      </c>
      <c r="M15" s="35">
        <v>0</v>
      </c>
      <c r="N15" s="35">
        <v>0</v>
      </c>
      <c r="O15" s="35">
        <v>0</v>
      </c>
    </row>
    <row r="16" spans="1:15" ht="22.9" customHeight="1" x14ac:dyDescent="0.3">
      <c r="A16" s="28" t="s">
        <v>424</v>
      </c>
      <c r="B16" s="28" t="s">
        <v>402</v>
      </c>
      <c r="C16" s="28" t="s">
        <v>403</v>
      </c>
      <c r="D16" s="28" t="s">
        <v>423</v>
      </c>
      <c r="E16" s="29" t="s">
        <v>104</v>
      </c>
      <c r="F16" s="31">
        <v>711200</v>
      </c>
      <c r="G16" s="35">
        <v>0</v>
      </c>
      <c r="H16" s="29" t="s">
        <v>406</v>
      </c>
      <c r="I16" s="28" t="s">
        <v>201</v>
      </c>
      <c r="J16" s="36">
        <v>0</v>
      </c>
      <c r="K16" s="36">
        <v>0</v>
      </c>
      <c r="L16" s="31">
        <v>711200</v>
      </c>
      <c r="M16" s="35">
        <v>0</v>
      </c>
      <c r="N16" s="35">
        <v>0</v>
      </c>
      <c r="O16" s="35">
        <v>0</v>
      </c>
    </row>
    <row r="17" spans="1:15" ht="22.9" customHeight="1" x14ac:dyDescent="0.3">
      <c r="A17" s="28" t="s">
        <v>425</v>
      </c>
      <c r="B17" s="28" t="s">
        <v>402</v>
      </c>
      <c r="C17" s="28" t="s">
        <v>403</v>
      </c>
      <c r="D17" s="28" t="s">
        <v>423</v>
      </c>
      <c r="E17" s="29" t="s">
        <v>405</v>
      </c>
      <c r="F17" s="31">
        <v>17600</v>
      </c>
      <c r="G17" s="35">
        <v>0</v>
      </c>
      <c r="H17" s="29" t="s">
        <v>406</v>
      </c>
      <c r="I17" s="28" t="s">
        <v>201</v>
      </c>
      <c r="J17" s="36">
        <v>0</v>
      </c>
      <c r="K17" s="36">
        <v>0</v>
      </c>
      <c r="L17" s="31">
        <v>17600</v>
      </c>
      <c r="M17" s="35">
        <v>0</v>
      </c>
      <c r="N17" s="35">
        <v>0</v>
      </c>
      <c r="O17" s="35">
        <v>0</v>
      </c>
    </row>
    <row r="18" spans="1:15" ht="22.9" customHeight="1" x14ac:dyDescent="0.3">
      <c r="A18" s="28" t="s">
        <v>426</v>
      </c>
      <c r="B18" s="28" t="s">
        <v>402</v>
      </c>
      <c r="C18" s="28" t="s">
        <v>403</v>
      </c>
      <c r="D18" s="28" t="s">
        <v>423</v>
      </c>
      <c r="E18" s="29" t="s">
        <v>405</v>
      </c>
      <c r="F18" s="31">
        <v>17600</v>
      </c>
      <c r="G18" s="35">
        <v>0</v>
      </c>
      <c r="H18" s="29" t="s">
        <v>406</v>
      </c>
      <c r="I18" s="28" t="s">
        <v>201</v>
      </c>
      <c r="J18" s="36">
        <v>0</v>
      </c>
      <c r="K18" s="36">
        <v>0</v>
      </c>
      <c r="L18" s="31">
        <v>17600</v>
      </c>
      <c r="M18" s="35">
        <v>0</v>
      </c>
      <c r="N18" s="35">
        <v>0</v>
      </c>
      <c r="O18" s="35">
        <v>0</v>
      </c>
    </row>
    <row r="19" spans="1:15" ht="22.9" customHeight="1" x14ac:dyDescent="0.3">
      <c r="A19" s="28" t="s">
        <v>427</v>
      </c>
      <c r="B19" s="28" t="s">
        <v>402</v>
      </c>
      <c r="C19" s="28" t="s">
        <v>403</v>
      </c>
      <c r="D19" s="28" t="s">
        <v>423</v>
      </c>
      <c r="E19" s="29" t="s">
        <v>405</v>
      </c>
      <c r="F19" s="31">
        <v>28248</v>
      </c>
      <c r="G19" s="35">
        <v>0</v>
      </c>
      <c r="H19" s="29" t="s">
        <v>406</v>
      </c>
      <c r="I19" s="28" t="s">
        <v>201</v>
      </c>
      <c r="J19" s="36">
        <v>0</v>
      </c>
      <c r="K19" s="36">
        <v>0</v>
      </c>
      <c r="L19" s="31">
        <v>28248</v>
      </c>
      <c r="M19" s="35">
        <v>0</v>
      </c>
      <c r="N19" s="35">
        <v>0</v>
      </c>
      <c r="O19" s="35">
        <v>0</v>
      </c>
    </row>
    <row r="20" spans="1:15" ht="22.9" customHeight="1" x14ac:dyDescent="0.3">
      <c r="A20" s="28" t="s">
        <v>428</v>
      </c>
      <c r="B20" s="28" t="s">
        <v>402</v>
      </c>
      <c r="C20" s="28" t="s">
        <v>403</v>
      </c>
      <c r="D20" s="28" t="s">
        <v>423</v>
      </c>
      <c r="E20" s="29" t="s">
        <v>405</v>
      </c>
      <c r="F20" s="31">
        <v>28248</v>
      </c>
      <c r="G20" s="35">
        <v>0</v>
      </c>
      <c r="H20" s="29" t="s">
        <v>406</v>
      </c>
      <c r="I20" s="28" t="s">
        <v>201</v>
      </c>
      <c r="J20" s="36">
        <v>0</v>
      </c>
      <c r="K20" s="36">
        <v>0</v>
      </c>
      <c r="L20" s="31">
        <v>28248</v>
      </c>
      <c r="M20" s="35">
        <v>0</v>
      </c>
      <c r="N20" s="35">
        <v>0</v>
      </c>
      <c r="O20" s="35">
        <v>0</v>
      </c>
    </row>
    <row r="21" spans="1:15" ht="22.9" customHeight="1" x14ac:dyDescent="0.3">
      <c r="A21" s="28" t="s">
        <v>429</v>
      </c>
      <c r="B21" s="28" t="s">
        <v>402</v>
      </c>
      <c r="C21" s="28" t="s">
        <v>403</v>
      </c>
      <c r="D21" s="28" t="s">
        <v>423</v>
      </c>
      <c r="E21" s="29" t="s">
        <v>130</v>
      </c>
      <c r="F21" s="31">
        <v>451700</v>
      </c>
      <c r="G21" s="35">
        <v>0</v>
      </c>
      <c r="H21" s="29" t="s">
        <v>406</v>
      </c>
      <c r="I21" s="28" t="s">
        <v>201</v>
      </c>
      <c r="J21" s="36">
        <v>0</v>
      </c>
      <c r="K21" s="36">
        <v>0</v>
      </c>
      <c r="L21" s="31">
        <v>451700</v>
      </c>
      <c r="M21" s="35">
        <v>0</v>
      </c>
      <c r="N21" s="35">
        <v>0</v>
      </c>
      <c r="O21" s="35">
        <v>0</v>
      </c>
    </row>
    <row r="22" spans="1:15" ht="22.9" customHeight="1" x14ac:dyDescent="0.3">
      <c r="A22" s="28" t="s">
        <v>430</v>
      </c>
      <c r="B22" s="28" t="s">
        <v>402</v>
      </c>
      <c r="C22" s="28" t="s">
        <v>403</v>
      </c>
      <c r="D22" s="28" t="s">
        <v>423</v>
      </c>
      <c r="E22" s="29" t="s">
        <v>130</v>
      </c>
      <c r="F22" s="31">
        <v>451700</v>
      </c>
      <c r="G22" s="35">
        <v>0</v>
      </c>
      <c r="H22" s="29" t="s">
        <v>406</v>
      </c>
      <c r="I22" s="28" t="s">
        <v>201</v>
      </c>
      <c r="J22" s="36">
        <v>0</v>
      </c>
      <c r="K22" s="36">
        <v>0</v>
      </c>
      <c r="L22" s="31">
        <v>451700</v>
      </c>
      <c r="M22" s="35">
        <v>0</v>
      </c>
      <c r="N22" s="35">
        <v>0</v>
      </c>
      <c r="O22" s="35">
        <v>0</v>
      </c>
    </row>
    <row r="23" spans="1:15" ht="22.9" customHeight="1" x14ac:dyDescent="0.3">
      <c r="A23" s="28" t="s">
        <v>431</v>
      </c>
      <c r="B23" s="28" t="s">
        <v>402</v>
      </c>
      <c r="C23" s="28" t="s">
        <v>403</v>
      </c>
      <c r="D23" s="28" t="s">
        <v>432</v>
      </c>
      <c r="E23" s="29" t="s">
        <v>405</v>
      </c>
      <c r="F23" s="31">
        <v>29920</v>
      </c>
      <c r="G23" s="35">
        <v>0</v>
      </c>
      <c r="H23" s="29" t="s">
        <v>406</v>
      </c>
      <c r="I23" s="28" t="s">
        <v>201</v>
      </c>
      <c r="J23" s="36">
        <v>0</v>
      </c>
      <c r="K23" s="36">
        <v>0</v>
      </c>
      <c r="L23" s="31">
        <v>29920</v>
      </c>
      <c r="M23" s="35">
        <v>0</v>
      </c>
      <c r="N23" s="35">
        <v>0</v>
      </c>
      <c r="O23" s="35">
        <v>0</v>
      </c>
    </row>
    <row r="24" spans="1:15" ht="22.9" customHeight="1" x14ac:dyDescent="0.3">
      <c r="A24" s="28" t="s">
        <v>433</v>
      </c>
      <c r="B24" s="28" t="s">
        <v>402</v>
      </c>
      <c r="C24" s="28" t="s">
        <v>403</v>
      </c>
      <c r="D24" s="28" t="s">
        <v>432</v>
      </c>
      <c r="E24" s="29" t="s">
        <v>405</v>
      </c>
      <c r="F24" s="31">
        <v>29920</v>
      </c>
      <c r="G24" s="35">
        <v>0</v>
      </c>
      <c r="H24" s="29" t="s">
        <v>406</v>
      </c>
      <c r="I24" s="28" t="s">
        <v>201</v>
      </c>
      <c r="J24" s="36">
        <v>0</v>
      </c>
      <c r="K24" s="36">
        <v>0</v>
      </c>
      <c r="L24" s="31">
        <v>29920</v>
      </c>
      <c r="M24" s="35">
        <v>0</v>
      </c>
      <c r="N24" s="35">
        <v>0</v>
      </c>
      <c r="O24" s="35">
        <v>0</v>
      </c>
    </row>
    <row r="25" spans="1:15" ht="22.9" customHeight="1" x14ac:dyDescent="0.3">
      <c r="A25" s="28" t="s">
        <v>434</v>
      </c>
      <c r="B25" s="28" t="s">
        <v>402</v>
      </c>
      <c r="C25" s="28" t="s">
        <v>403</v>
      </c>
      <c r="D25" s="28" t="s">
        <v>432</v>
      </c>
      <c r="E25" s="29" t="s">
        <v>405</v>
      </c>
      <c r="F25" s="31">
        <v>29920</v>
      </c>
      <c r="G25" s="35">
        <v>0</v>
      </c>
      <c r="H25" s="29" t="s">
        <v>406</v>
      </c>
      <c r="I25" s="28" t="s">
        <v>201</v>
      </c>
      <c r="J25" s="36">
        <v>0</v>
      </c>
      <c r="K25" s="36">
        <v>0</v>
      </c>
      <c r="L25" s="31">
        <v>29920</v>
      </c>
      <c r="M25" s="35">
        <v>0</v>
      </c>
      <c r="N25" s="35">
        <v>0</v>
      </c>
      <c r="O25" s="35">
        <v>0</v>
      </c>
    </row>
    <row r="26" spans="1:15" ht="22.9" customHeight="1" x14ac:dyDescent="0.3">
      <c r="A26" s="28" t="s">
        <v>435</v>
      </c>
      <c r="B26" s="28" t="s">
        <v>402</v>
      </c>
      <c r="C26" s="28" t="s">
        <v>403</v>
      </c>
      <c r="D26" s="28" t="s">
        <v>432</v>
      </c>
      <c r="E26" s="29" t="s">
        <v>405</v>
      </c>
      <c r="F26" s="31">
        <v>29920</v>
      </c>
      <c r="G26" s="35">
        <v>0</v>
      </c>
      <c r="H26" s="29" t="s">
        <v>406</v>
      </c>
      <c r="I26" s="28" t="s">
        <v>201</v>
      </c>
      <c r="J26" s="36">
        <v>0</v>
      </c>
      <c r="K26" s="36">
        <v>0</v>
      </c>
      <c r="L26" s="31">
        <v>29920</v>
      </c>
      <c r="M26" s="35">
        <v>0</v>
      </c>
      <c r="N26" s="35">
        <v>0</v>
      </c>
      <c r="O26" s="35">
        <v>0</v>
      </c>
    </row>
    <row r="27" spans="1:15" ht="22.9" customHeight="1" x14ac:dyDescent="0.3">
      <c r="A27" s="28" t="s">
        <v>436</v>
      </c>
      <c r="B27" s="28" t="s">
        <v>402</v>
      </c>
      <c r="C27" s="28" t="s">
        <v>403</v>
      </c>
      <c r="D27" s="28" t="s">
        <v>432</v>
      </c>
      <c r="E27" s="29" t="s">
        <v>405</v>
      </c>
      <c r="F27" s="31">
        <v>29920</v>
      </c>
      <c r="G27" s="35">
        <v>0</v>
      </c>
      <c r="H27" s="29" t="s">
        <v>406</v>
      </c>
      <c r="I27" s="28" t="s">
        <v>201</v>
      </c>
      <c r="J27" s="36">
        <v>0</v>
      </c>
      <c r="K27" s="36">
        <v>0</v>
      </c>
      <c r="L27" s="31">
        <v>29920</v>
      </c>
      <c r="M27" s="35">
        <v>0</v>
      </c>
      <c r="N27" s="35">
        <v>0</v>
      </c>
      <c r="O27" s="35">
        <v>0</v>
      </c>
    </row>
    <row r="28" spans="1:15" ht="22.9" customHeight="1" x14ac:dyDescent="0.3">
      <c r="A28" s="28" t="s">
        <v>437</v>
      </c>
      <c r="B28" s="28" t="s">
        <v>402</v>
      </c>
      <c r="C28" s="28" t="s">
        <v>403</v>
      </c>
      <c r="D28" s="28" t="s">
        <v>432</v>
      </c>
      <c r="E28" s="29" t="s">
        <v>405</v>
      </c>
      <c r="F28" s="31">
        <v>29920</v>
      </c>
      <c r="G28" s="35">
        <v>0</v>
      </c>
      <c r="H28" s="29" t="s">
        <v>406</v>
      </c>
      <c r="I28" s="28" t="s">
        <v>201</v>
      </c>
      <c r="J28" s="36">
        <v>0</v>
      </c>
      <c r="K28" s="36">
        <v>0</v>
      </c>
      <c r="L28" s="31">
        <v>29920</v>
      </c>
      <c r="M28" s="35">
        <v>0</v>
      </c>
      <c r="N28" s="35">
        <v>0</v>
      </c>
      <c r="O28" s="35">
        <v>0</v>
      </c>
    </row>
    <row r="29" spans="1:15" ht="22.9" customHeight="1" x14ac:dyDescent="0.3">
      <c r="A29" s="28" t="s">
        <v>438</v>
      </c>
      <c r="B29" s="28" t="s">
        <v>402</v>
      </c>
      <c r="C29" s="28" t="s">
        <v>403</v>
      </c>
      <c r="D29" s="28" t="s">
        <v>432</v>
      </c>
      <c r="E29" s="29" t="s">
        <v>89</v>
      </c>
      <c r="F29" s="31">
        <v>765600</v>
      </c>
      <c r="G29" s="35">
        <v>0</v>
      </c>
      <c r="H29" s="29" t="s">
        <v>406</v>
      </c>
      <c r="I29" s="28" t="s">
        <v>201</v>
      </c>
      <c r="J29" s="36">
        <v>0</v>
      </c>
      <c r="K29" s="36">
        <v>0</v>
      </c>
      <c r="L29" s="31">
        <v>765600</v>
      </c>
      <c r="M29" s="35">
        <v>0</v>
      </c>
      <c r="N29" s="35">
        <v>0</v>
      </c>
      <c r="O29" s="35">
        <v>0</v>
      </c>
    </row>
    <row r="30" spans="1:15" ht="22.9" customHeight="1" x14ac:dyDescent="0.3">
      <c r="A30" s="28" t="s">
        <v>439</v>
      </c>
      <c r="B30" s="28" t="s">
        <v>402</v>
      </c>
      <c r="C30" s="28" t="s">
        <v>403</v>
      </c>
      <c r="D30" s="28" t="s">
        <v>432</v>
      </c>
      <c r="E30" s="29" t="s">
        <v>89</v>
      </c>
      <c r="F30" s="31">
        <v>765600</v>
      </c>
      <c r="G30" s="35">
        <v>0</v>
      </c>
      <c r="H30" s="29" t="s">
        <v>406</v>
      </c>
      <c r="I30" s="28" t="s">
        <v>201</v>
      </c>
      <c r="J30" s="36">
        <v>0</v>
      </c>
      <c r="K30" s="36">
        <v>0</v>
      </c>
      <c r="L30" s="31">
        <v>765600</v>
      </c>
      <c r="M30" s="35">
        <v>0</v>
      </c>
      <c r="N30" s="35">
        <v>0</v>
      </c>
      <c r="O30" s="35">
        <v>0</v>
      </c>
    </row>
    <row r="31" spans="1:15" ht="22.9" customHeight="1" x14ac:dyDescent="0.3">
      <c r="A31" s="28" t="s">
        <v>440</v>
      </c>
      <c r="B31" s="28" t="s">
        <v>402</v>
      </c>
      <c r="C31" s="28" t="s">
        <v>403</v>
      </c>
      <c r="D31" s="28" t="s">
        <v>432</v>
      </c>
      <c r="E31" s="29" t="s">
        <v>89</v>
      </c>
      <c r="F31" s="31">
        <v>765600</v>
      </c>
      <c r="G31" s="35">
        <v>0</v>
      </c>
      <c r="H31" s="29" t="s">
        <v>406</v>
      </c>
      <c r="I31" s="28" t="s">
        <v>201</v>
      </c>
      <c r="J31" s="36">
        <v>0</v>
      </c>
      <c r="K31" s="36">
        <v>0</v>
      </c>
      <c r="L31" s="31">
        <v>765600</v>
      </c>
      <c r="M31" s="35">
        <v>0</v>
      </c>
      <c r="N31" s="35">
        <v>0</v>
      </c>
      <c r="O31" s="35">
        <v>0</v>
      </c>
    </row>
    <row r="32" spans="1:15" ht="22.9" customHeight="1" x14ac:dyDescent="0.3">
      <c r="A32" s="28" t="s">
        <v>441</v>
      </c>
      <c r="B32" s="28" t="s">
        <v>402</v>
      </c>
      <c r="C32" s="28" t="s">
        <v>403</v>
      </c>
      <c r="D32" s="28" t="s">
        <v>432</v>
      </c>
      <c r="E32" s="29" t="s">
        <v>89</v>
      </c>
      <c r="F32" s="31">
        <v>765600</v>
      </c>
      <c r="G32" s="35">
        <v>0</v>
      </c>
      <c r="H32" s="29" t="s">
        <v>406</v>
      </c>
      <c r="I32" s="28" t="s">
        <v>201</v>
      </c>
      <c r="J32" s="36">
        <v>0</v>
      </c>
      <c r="K32" s="36">
        <v>0</v>
      </c>
      <c r="L32" s="31">
        <v>765600</v>
      </c>
      <c r="M32" s="35">
        <v>0</v>
      </c>
      <c r="N32" s="35">
        <v>0</v>
      </c>
      <c r="O32" s="35">
        <v>0</v>
      </c>
    </row>
    <row r="33" spans="1:15" ht="22.9" customHeight="1" x14ac:dyDescent="0.3">
      <c r="A33" s="28" t="s">
        <v>442</v>
      </c>
      <c r="B33" s="28" t="s">
        <v>402</v>
      </c>
      <c r="C33" s="28" t="s">
        <v>403</v>
      </c>
      <c r="D33" s="28" t="s">
        <v>432</v>
      </c>
      <c r="E33" s="29" t="s">
        <v>89</v>
      </c>
      <c r="F33" s="31">
        <v>765600</v>
      </c>
      <c r="G33" s="35">
        <v>0</v>
      </c>
      <c r="H33" s="29" t="s">
        <v>406</v>
      </c>
      <c r="I33" s="28" t="s">
        <v>201</v>
      </c>
      <c r="J33" s="36">
        <v>0</v>
      </c>
      <c r="K33" s="36">
        <v>0</v>
      </c>
      <c r="L33" s="31">
        <v>765600</v>
      </c>
      <c r="M33" s="35">
        <v>0</v>
      </c>
      <c r="N33" s="35">
        <v>0</v>
      </c>
      <c r="O33" s="35">
        <v>0</v>
      </c>
    </row>
    <row r="34" spans="1:15" ht="22.9" customHeight="1" x14ac:dyDescent="0.3">
      <c r="A34" s="28" t="s">
        <v>443</v>
      </c>
      <c r="B34" s="28" t="s">
        <v>402</v>
      </c>
      <c r="C34" s="28" t="s">
        <v>403</v>
      </c>
      <c r="D34" s="28" t="s">
        <v>432</v>
      </c>
      <c r="E34" s="29" t="s">
        <v>89</v>
      </c>
      <c r="F34" s="31">
        <v>765600</v>
      </c>
      <c r="G34" s="35">
        <v>0</v>
      </c>
      <c r="H34" s="29" t="s">
        <v>406</v>
      </c>
      <c r="I34" s="28" t="s">
        <v>201</v>
      </c>
      <c r="J34" s="36">
        <v>0</v>
      </c>
      <c r="K34" s="36">
        <v>0</v>
      </c>
      <c r="L34" s="31">
        <v>765600</v>
      </c>
      <c r="M34" s="35">
        <v>0</v>
      </c>
      <c r="N34" s="35">
        <v>0</v>
      </c>
      <c r="O34" s="35">
        <v>0</v>
      </c>
    </row>
    <row r="35" spans="1:15" ht="22.9" customHeight="1" x14ac:dyDescent="0.3">
      <c r="A35" s="28" t="s">
        <v>444</v>
      </c>
      <c r="B35" s="28" t="s">
        <v>402</v>
      </c>
      <c r="C35" s="28" t="s">
        <v>403</v>
      </c>
      <c r="D35" s="28" t="s">
        <v>445</v>
      </c>
      <c r="E35" s="29" t="s">
        <v>405</v>
      </c>
      <c r="F35" s="31">
        <v>32370</v>
      </c>
      <c r="G35" s="35">
        <v>0</v>
      </c>
      <c r="H35" s="29" t="s">
        <v>406</v>
      </c>
      <c r="I35" s="28" t="s">
        <v>201</v>
      </c>
      <c r="J35" s="36">
        <v>0</v>
      </c>
      <c r="K35" s="36">
        <v>0</v>
      </c>
      <c r="L35" s="31">
        <v>32370</v>
      </c>
      <c r="M35" s="35">
        <v>0</v>
      </c>
      <c r="N35" s="35">
        <v>0</v>
      </c>
      <c r="O35" s="35">
        <v>0</v>
      </c>
    </row>
    <row r="36" spans="1:15" ht="22.9" customHeight="1" x14ac:dyDescent="0.3">
      <c r="A36" s="28" t="s">
        <v>446</v>
      </c>
      <c r="B36" s="28" t="s">
        <v>402</v>
      </c>
      <c r="C36" s="28" t="s">
        <v>403</v>
      </c>
      <c r="D36" s="28" t="s">
        <v>445</v>
      </c>
      <c r="E36" s="29" t="s">
        <v>89</v>
      </c>
      <c r="F36" s="31">
        <v>7620000</v>
      </c>
      <c r="G36" s="35">
        <v>0</v>
      </c>
      <c r="H36" s="29" t="s">
        <v>406</v>
      </c>
      <c r="I36" s="28" t="s">
        <v>201</v>
      </c>
      <c r="J36" s="36">
        <v>0</v>
      </c>
      <c r="K36" s="36">
        <v>0</v>
      </c>
      <c r="L36" s="31">
        <v>150000</v>
      </c>
      <c r="M36" s="35">
        <v>0</v>
      </c>
      <c r="N36" s="35">
        <v>0</v>
      </c>
      <c r="O36" s="35">
        <v>0</v>
      </c>
    </row>
    <row r="37" spans="1:15" ht="22.9" customHeight="1" x14ac:dyDescent="0.3">
      <c r="A37" s="28" t="s">
        <v>447</v>
      </c>
      <c r="B37" s="28" t="s">
        <v>402</v>
      </c>
      <c r="C37" s="28" t="s">
        <v>403</v>
      </c>
      <c r="D37" s="28" t="s">
        <v>445</v>
      </c>
      <c r="E37" s="29" t="s">
        <v>89</v>
      </c>
      <c r="F37" s="31">
        <v>-7470000</v>
      </c>
      <c r="G37" s="35">
        <v>0</v>
      </c>
      <c r="H37" s="29" t="s">
        <v>406</v>
      </c>
      <c r="I37" s="28" t="s">
        <v>448</v>
      </c>
      <c r="J37" s="36">
        <v>0</v>
      </c>
      <c r="K37" s="36">
        <v>0</v>
      </c>
      <c r="L37" s="35">
        <v>0</v>
      </c>
      <c r="M37" s="35">
        <v>0</v>
      </c>
      <c r="N37" s="35">
        <v>0</v>
      </c>
      <c r="O37" s="35">
        <v>0</v>
      </c>
    </row>
    <row r="38" spans="1:15" ht="22.9" customHeight="1" x14ac:dyDescent="0.3">
      <c r="A38" s="28" t="s">
        <v>449</v>
      </c>
      <c r="B38" s="28" t="s">
        <v>402</v>
      </c>
      <c r="C38" s="28" t="s">
        <v>403</v>
      </c>
      <c r="D38" s="28" t="s">
        <v>445</v>
      </c>
      <c r="E38" s="29" t="s">
        <v>89</v>
      </c>
      <c r="F38" s="31">
        <v>830400</v>
      </c>
      <c r="G38" s="35">
        <v>0</v>
      </c>
      <c r="H38" s="29" t="s">
        <v>406</v>
      </c>
      <c r="I38" s="28" t="s">
        <v>201</v>
      </c>
      <c r="J38" s="36">
        <v>0</v>
      </c>
      <c r="K38" s="36">
        <v>0</v>
      </c>
      <c r="L38" s="31">
        <v>830400</v>
      </c>
      <c r="M38" s="35">
        <v>0</v>
      </c>
      <c r="N38" s="35">
        <v>0</v>
      </c>
      <c r="O38" s="35">
        <v>0</v>
      </c>
    </row>
    <row r="39" spans="1:15" ht="22.9" customHeight="1" x14ac:dyDescent="0.3">
      <c r="A39" s="28" t="s">
        <v>450</v>
      </c>
      <c r="B39" s="28" t="s">
        <v>402</v>
      </c>
      <c r="C39" s="28" t="s">
        <v>403</v>
      </c>
      <c r="D39" s="28" t="s">
        <v>451</v>
      </c>
      <c r="E39" s="29" t="s">
        <v>405</v>
      </c>
      <c r="F39" s="31">
        <v>83160</v>
      </c>
      <c r="G39" s="35">
        <v>0</v>
      </c>
      <c r="H39" s="29" t="s">
        <v>406</v>
      </c>
      <c r="I39" s="28" t="s">
        <v>201</v>
      </c>
      <c r="J39" s="36">
        <v>0</v>
      </c>
      <c r="K39" s="36">
        <v>0</v>
      </c>
      <c r="L39" s="31">
        <v>83160</v>
      </c>
      <c r="M39" s="35">
        <v>0</v>
      </c>
      <c r="N39" s="35">
        <v>0</v>
      </c>
      <c r="O39" s="35">
        <v>0</v>
      </c>
    </row>
    <row r="40" spans="1:15" ht="22.9" customHeight="1" x14ac:dyDescent="0.3">
      <c r="A40" s="28" t="s">
        <v>452</v>
      </c>
      <c r="B40" s="28" t="s">
        <v>402</v>
      </c>
      <c r="C40" s="28" t="s">
        <v>403</v>
      </c>
      <c r="D40" s="28" t="s">
        <v>451</v>
      </c>
      <c r="E40" s="29" t="s">
        <v>405</v>
      </c>
      <c r="F40" s="31">
        <v>8461</v>
      </c>
      <c r="G40" s="35">
        <v>0</v>
      </c>
      <c r="H40" s="29" t="s">
        <v>406</v>
      </c>
      <c r="I40" s="28" t="s">
        <v>201</v>
      </c>
      <c r="J40" s="36">
        <v>0</v>
      </c>
      <c r="K40" s="36">
        <v>0</v>
      </c>
      <c r="L40" s="31">
        <v>8461</v>
      </c>
      <c r="M40" s="35">
        <v>0</v>
      </c>
      <c r="N40" s="35">
        <v>0</v>
      </c>
      <c r="O40" s="35">
        <v>0</v>
      </c>
    </row>
    <row r="41" spans="1:15" ht="22.9" customHeight="1" x14ac:dyDescent="0.3">
      <c r="A41" s="28" t="s">
        <v>453</v>
      </c>
      <c r="B41" s="28" t="s">
        <v>402</v>
      </c>
      <c r="C41" s="28" t="s">
        <v>403</v>
      </c>
      <c r="D41" s="28" t="s">
        <v>451</v>
      </c>
      <c r="E41" s="29" t="s">
        <v>405</v>
      </c>
      <c r="F41" s="31">
        <v>8461</v>
      </c>
      <c r="G41" s="35">
        <v>0</v>
      </c>
      <c r="H41" s="29" t="s">
        <v>406</v>
      </c>
      <c r="I41" s="28" t="s">
        <v>201</v>
      </c>
      <c r="J41" s="36">
        <v>0</v>
      </c>
      <c r="K41" s="36">
        <v>0</v>
      </c>
      <c r="L41" s="31">
        <v>8461</v>
      </c>
      <c r="M41" s="35">
        <v>0</v>
      </c>
      <c r="N41" s="35">
        <v>0</v>
      </c>
      <c r="O41" s="35">
        <v>0</v>
      </c>
    </row>
    <row r="42" spans="1:15" ht="22.9" customHeight="1" x14ac:dyDescent="0.3">
      <c r="A42" s="28" t="s">
        <v>454</v>
      </c>
      <c r="B42" s="28" t="s">
        <v>402</v>
      </c>
      <c r="C42" s="28" t="s">
        <v>403</v>
      </c>
      <c r="D42" s="28" t="s">
        <v>451</v>
      </c>
      <c r="E42" s="29" t="s">
        <v>89</v>
      </c>
      <c r="F42" s="31">
        <v>2186700</v>
      </c>
      <c r="G42" s="35">
        <v>0</v>
      </c>
      <c r="H42" s="29" t="s">
        <v>406</v>
      </c>
      <c r="I42" s="28" t="s">
        <v>201</v>
      </c>
      <c r="J42" s="36">
        <v>0</v>
      </c>
      <c r="K42" s="36">
        <v>0</v>
      </c>
      <c r="L42" s="31">
        <v>2186700</v>
      </c>
      <c r="M42" s="35">
        <v>0</v>
      </c>
      <c r="N42" s="35">
        <v>0</v>
      </c>
      <c r="O42" s="35">
        <v>0</v>
      </c>
    </row>
    <row r="43" spans="1:15" ht="22.9" customHeight="1" x14ac:dyDescent="0.3">
      <c r="A43" s="28" t="s">
        <v>455</v>
      </c>
      <c r="B43" s="28" t="s">
        <v>402</v>
      </c>
      <c r="C43" s="28" t="s">
        <v>403</v>
      </c>
      <c r="D43" s="28" t="s">
        <v>451</v>
      </c>
      <c r="E43" s="29" t="s">
        <v>89</v>
      </c>
      <c r="F43" s="31">
        <v>2186700</v>
      </c>
      <c r="G43" s="35">
        <v>0</v>
      </c>
      <c r="H43" s="29" t="s">
        <v>406</v>
      </c>
      <c r="I43" s="28" t="s">
        <v>201</v>
      </c>
      <c r="J43" s="36">
        <v>0</v>
      </c>
      <c r="K43" s="36">
        <v>0</v>
      </c>
      <c r="L43" s="31">
        <v>200000</v>
      </c>
      <c r="M43" s="35">
        <v>0</v>
      </c>
      <c r="N43" s="35">
        <v>0</v>
      </c>
      <c r="O43" s="35">
        <v>0</v>
      </c>
    </row>
    <row r="44" spans="1:15" ht="22.9" customHeight="1" x14ac:dyDescent="0.3">
      <c r="A44" s="28" t="s">
        <v>456</v>
      </c>
      <c r="B44" s="28" t="s">
        <v>402</v>
      </c>
      <c r="C44" s="28" t="s">
        <v>403</v>
      </c>
      <c r="D44" s="28" t="s">
        <v>451</v>
      </c>
      <c r="E44" s="29" t="s">
        <v>89</v>
      </c>
      <c r="F44" s="31">
        <v>-1986700</v>
      </c>
      <c r="G44" s="35">
        <v>0</v>
      </c>
      <c r="H44" s="29" t="s">
        <v>406</v>
      </c>
      <c r="I44" s="28" t="s">
        <v>448</v>
      </c>
      <c r="J44" s="36">
        <v>0</v>
      </c>
      <c r="K44" s="36">
        <v>0</v>
      </c>
      <c r="L44" s="35">
        <v>0</v>
      </c>
      <c r="M44" s="35">
        <v>0</v>
      </c>
      <c r="N44" s="35">
        <v>0</v>
      </c>
      <c r="O44" s="35">
        <v>0</v>
      </c>
    </row>
    <row r="45" spans="1:15" ht="22.9" customHeight="1" x14ac:dyDescent="0.3">
      <c r="A45" s="28" t="s">
        <v>457</v>
      </c>
      <c r="B45" s="28" t="s">
        <v>402</v>
      </c>
      <c r="C45" s="28" t="s">
        <v>403</v>
      </c>
      <c r="D45" s="28" t="s">
        <v>451</v>
      </c>
      <c r="E45" s="29" t="s">
        <v>89</v>
      </c>
      <c r="F45" s="31">
        <v>7620200</v>
      </c>
      <c r="G45" s="35">
        <v>0</v>
      </c>
      <c r="H45" s="29" t="s">
        <v>406</v>
      </c>
      <c r="I45" s="28" t="s">
        <v>201</v>
      </c>
      <c r="J45" s="36">
        <v>0</v>
      </c>
      <c r="K45" s="36">
        <v>0</v>
      </c>
      <c r="L45" s="31">
        <v>7620200</v>
      </c>
      <c r="M45" s="35">
        <v>0</v>
      </c>
      <c r="N45" s="35">
        <v>0</v>
      </c>
      <c r="O45" s="35">
        <v>0</v>
      </c>
    </row>
    <row r="46" spans="1:15" ht="22.9" customHeight="1" x14ac:dyDescent="0.3">
      <c r="A46" s="28" t="s">
        <v>458</v>
      </c>
      <c r="B46" s="28" t="s">
        <v>402</v>
      </c>
      <c r="C46" s="28" t="s">
        <v>403</v>
      </c>
      <c r="D46" s="28" t="s">
        <v>459</v>
      </c>
      <c r="E46" s="29" t="s">
        <v>405</v>
      </c>
      <c r="F46" s="31">
        <v>24380</v>
      </c>
      <c r="G46" s="35">
        <v>0</v>
      </c>
      <c r="H46" s="29" t="s">
        <v>406</v>
      </c>
      <c r="I46" s="28" t="s">
        <v>201</v>
      </c>
      <c r="J46" s="36">
        <v>0</v>
      </c>
      <c r="K46" s="36">
        <v>0</v>
      </c>
      <c r="L46" s="31">
        <v>24380</v>
      </c>
      <c r="M46" s="35">
        <v>0</v>
      </c>
      <c r="N46" s="35">
        <v>0</v>
      </c>
      <c r="O46" s="35">
        <v>0</v>
      </c>
    </row>
    <row r="47" spans="1:15" ht="22.9" customHeight="1" x14ac:dyDescent="0.3">
      <c r="A47" s="28" t="s">
        <v>460</v>
      </c>
      <c r="B47" s="28" t="s">
        <v>402</v>
      </c>
      <c r="C47" s="28" t="s">
        <v>403</v>
      </c>
      <c r="D47" s="28" t="s">
        <v>459</v>
      </c>
      <c r="E47" s="29" t="s">
        <v>405</v>
      </c>
      <c r="F47" s="31">
        <v>24380</v>
      </c>
      <c r="G47" s="35">
        <v>0</v>
      </c>
      <c r="H47" s="29" t="s">
        <v>406</v>
      </c>
      <c r="I47" s="28" t="s">
        <v>201</v>
      </c>
      <c r="J47" s="36">
        <v>0</v>
      </c>
      <c r="K47" s="36">
        <v>0</v>
      </c>
      <c r="L47" s="31">
        <v>24380</v>
      </c>
      <c r="M47" s="35">
        <v>0</v>
      </c>
      <c r="N47" s="35">
        <v>0</v>
      </c>
      <c r="O47" s="35">
        <v>0</v>
      </c>
    </row>
    <row r="48" spans="1:15" ht="22.9" customHeight="1" x14ac:dyDescent="0.3">
      <c r="A48" s="28" t="s">
        <v>461</v>
      </c>
      <c r="B48" s="28" t="s">
        <v>402</v>
      </c>
      <c r="C48" s="28" t="s">
        <v>403</v>
      </c>
      <c r="D48" s="28" t="s">
        <v>459</v>
      </c>
      <c r="E48" s="29" t="s">
        <v>405</v>
      </c>
      <c r="F48" s="31">
        <v>24380</v>
      </c>
      <c r="G48" s="35">
        <v>0</v>
      </c>
      <c r="H48" s="29" t="s">
        <v>406</v>
      </c>
      <c r="I48" s="28" t="s">
        <v>201</v>
      </c>
      <c r="J48" s="36">
        <v>0</v>
      </c>
      <c r="K48" s="36">
        <v>0</v>
      </c>
      <c r="L48" s="31">
        <v>24380</v>
      </c>
      <c r="M48" s="35">
        <v>0</v>
      </c>
      <c r="N48" s="35">
        <v>0</v>
      </c>
      <c r="O48" s="35">
        <v>0</v>
      </c>
    </row>
    <row r="49" spans="1:15" ht="22.9" customHeight="1" x14ac:dyDescent="0.3">
      <c r="A49" s="28" t="s">
        <v>462</v>
      </c>
      <c r="B49" s="28" t="s">
        <v>402</v>
      </c>
      <c r="C49" s="28" t="s">
        <v>403</v>
      </c>
      <c r="D49" s="28" t="s">
        <v>459</v>
      </c>
      <c r="E49" s="29" t="s">
        <v>104</v>
      </c>
      <c r="F49" s="31">
        <v>192600</v>
      </c>
      <c r="G49" s="35">
        <v>0</v>
      </c>
      <c r="H49" s="29" t="s">
        <v>406</v>
      </c>
      <c r="I49" s="28" t="s">
        <v>201</v>
      </c>
      <c r="J49" s="36">
        <v>0</v>
      </c>
      <c r="K49" s="36">
        <v>0</v>
      </c>
      <c r="L49" s="31">
        <v>192600</v>
      </c>
      <c r="M49" s="35">
        <v>0</v>
      </c>
      <c r="N49" s="35">
        <v>0</v>
      </c>
      <c r="O49" s="35">
        <v>0</v>
      </c>
    </row>
    <row r="50" spans="1:15" ht="22.9" customHeight="1" x14ac:dyDescent="0.3">
      <c r="A50" s="28" t="s">
        <v>463</v>
      </c>
      <c r="B50" s="28" t="s">
        <v>402</v>
      </c>
      <c r="C50" s="28" t="s">
        <v>403</v>
      </c>
      <c r="D50" s="28" t="s">
        <v>459</v>
      </c>
      <c r="E50" s="29" t="s">
        <v>104</v>
      </c>
      <c r="F50" s="31">
        <v>192600</v>
      </c>
      <c r="G50" s="35">
        <v>0</v>
      </c>
      <c r="H50" s="29" t="s">
        <v>406</v>
      </c>
      <c r="I50" s="28" t="s">
        <v>201</v>
      </c>
      <c r="J50" s="36">
        <v>0</v>
      </c>
      <c r="K50" s="36">
        <v>0</v>
      </c>
      <c r="L50" s="31">
        <v>192600</v>
      </c>
      <c r="M50" s="35">
        <v>0</v>
      </c>
      <c r="N50" s="35">
        <v>0</v>
      </c>
      <c r="O50" s="35">
        <v>0</v>
      </c>
    </row>
    <row r="51" spans="1:15" ht="22.9" customHeight="1" x14ac:dyDescent="0.3">
      <c r="A51" s="28" t="s">
        <v>464</v>
      </c>
      <c r="B51" s="28" t="s">
        <v>402</v>
      </c>
      <c r="C51" s="28" t="s">
        <v>403</v>
      </c>
      <c r="D51" s="28" t="s">
        <v>459</v>
      </c>
      <c r="E51" s="29" t="s">
        <v>89</v>
      </c>
      <c r="F51" s="31">
        <v>643800</v>
      </c>
      <c r="G51" s="35">
        <v>0</v>
      </c>
      <c r="H51" s="29" t="s">
        <v>406</v>
      </c>
      <c r="I51" s="28" t="s">
        <v>201</v>
      </c>
      <c r="J51" s="36">
        <v>0</v>
      </c>
      <c r="K51" s="36">
        <v>0</v>
      </c>
      <c r="L51" s="31">
        <v>643800</v>
      </c>
      <c r="M51" s="35">
        <v>0</v>
      </c>
      <c r="N51" s="35">
        <v>0</v>
      </c>
      <c r="O51" s="35">
        <v>0</v>
      </c>
    </row>
    <row r="52" spans="1:15" ht="22.9" customHeight="1" x14ac:dyDescent="0.3">
      <c r="A52" s="28" t="s">
        <v>465</v>
      </c>
      <c r="B52" s="28" t="s">
        <v>402</v>
      </c>
      <c r="C52" s="28" t="s">
        <v>403</v>
      </c>
      <c r="D52" s="28" t="s">
        <v>459</v>
      </c>
      <c r="E52" s="29" t="s">
        <v>89</v>
      </c>
      <c r="F52" s="31">
        <v>643800</v>
      </c>
      <c r="G52" s="35">
        <v>0</v>
      </c>
      <c r="H52" s="29" t="s">
        <v>406</v>
      </c>
      <c r="I52" s="28" t="s">
        <v>201</v>
      </c>
      <c r="J52" s="36">
        <v>0</v>
      </c>
      <c r="K52" s="36">
        <v>0</v>
      </c>
      <c r="L52" s="31">
        <v>643800</v>
      </c>
      <c r="M52" s="35">
        <v>0</v>
      </c>
      <c r="N52" s="35">
        <v>0</v>
      </c>
      <c r="O52" s="35">
        <v>0</v>
      </c>
    </row>
    <row r="53" spans="1:15" ht="22.9" customHeight="1" x14ac:dyDescent="0.3">
      <c r="A53" s="28" t="s">
        <v>466</v>
      </c>
      <c r="B53" s="28" t="s">
        <v>402</v>
      </c>
      <c r="C53" s="28" t="s">
        <v>403</v>
      </c>
      <c r="D53" s="28" t="s">
        <v>459</v>
      </c>
      <c r="E53" s="29" t="s">
        <v>89</v>
      </c>
      <c r="F53" s="31">
        <v>643800</v>
      </c>
      <c r="G53" s="35">
        <v>0</v>
      </c>
      <c r="H53" s="29" t="s">
        <v>406</v>
      </c>
      <c r="I53" s="28" t="s">
        <v>201</v>
      </c>
      <c r="J53" s="36">
        <v>0</v>
      </c>
      <c r="K53" s="36">
        <v>0</v>
      </c>
      <c r="L53" s="31">
        <v>643800</v>
      </c>
      <c r="M53" s="35">
        <v>0</v>
      </c>
      <c r="N53" s="35">
        <v>0</v>
      </c>
      <c r="O53" s="35">
        <v>0</v>
      </c>
    </row>
    <row r="54" spans="1:15" ht="22.9" customHeight="1" x14ac:dyDescent="0.3">
      <c r="A54" s="28" t="s">
        <v>467</v>
      </c>
      <c r="B54" s="28" t="s">
        <v>402</v>
      </c>
      <c r="C54" s="28" t="s">
        <v>403</v>
      </c>
      <c r="D54" s="28" t="s">
        <v>468</v>
      </c>
      <c r="E54" s="29" t="s">
        <v>405</v>
      </c>
      <c r="F54" s="31">
        <v>44303</v>
      </c>
      <c r="G54" s="35">
        <v>0</v>
      </c>
      <c r="H54" s="29" t="s">
        <v>406</v>
      </c>
      <c r="I54" s="28" t="s">
        <v>201</v>
      </c>
      <c r="J54" s="36">
        <v>0</v>
      </c>
      <c r="K54" s="36">
        <v>0</v>
      </c>
      <c r="L54" s="31">
        <v>44303</v>
      </c>
      <c r="M54" s="35">
        <v>0</v>
      </c>
      <c r="N54" s="35">
        <v>0</v>
      </c>
      <c r="O54" s="35">
        <v>0</v>
      </c>
    </row>
    <row r="55" spans="1:15" ht="22.9" customHeight="1" x14ac:dyDescent="0.3">
      <c r="A55" s="28" t="s">
        <v>469</v>
      </c>
      <c r="B55" s="28" t="s">
        <v>402</v>
      </c>
      <c r="C55" s="28" t="s">
        <v>403</v>
      </c>
      <c r="D55" s="28" t="s">
        <v>468</v>
      </c>
      <c r="E55" s="29" t="s">
        <v>89</v>
      </c>
      <c r="F55" s="31">
        <v>1206800</v>
      </c>
      <c r="G55" s="35">
        <v>0</v>
      </c>
      <c r="H55" s="29" t="s">
        <v>406</v>
      </c>
      <c r="I55" s="28" t="s">
        <v>201</v>
      </c>
      <c r="J55" s="36">
        <v>0</v>
      </c>
      <c r="K55" s="36">
        <v>0</v>
      </c>
      <c r="L55" s="31">
        <v>1206800</v>
      </c>
      <c r="M55" s="35">
        <v>0</v>
      </c>
      <c r="N55" s="35">
        <v>0</v>
      </c>
      <c r="O55" s="35">
        <v>0</v>
      </c>
    </row>
    <row r="56" spans="1:15" ht="22.9" customHeight="1" x14ac:dyDescent="0.3">
      <c r="A56" s="71" t="s">
        <v>470</v>
      </c>
      <c r="B56" s="72"/>
      <c r="C56" s="28"/>
      <c r="D56" s="28"/>
      <c r="E56" s="28"/>
      <c r="F56" s="57">
        <f>SUM(F2:F55)</f>
        <v>25858214</v>
      </c>
      <c r="G56" s="30"/>
      <c r="H56" s="30"/>
      <c r="I56" s="30"/>
      <c r="J56" s="30"/>
      <c r="K56" s="30"/>
      <c r="L56" s="57">
        <f>SUM(L2:L55)</f>
        <v>25858214</v>
      </c>
      <c r="M56" s="30"/>
      <c r="N56" s="30"/>
      <c r="O56" s="30"/>
    </row>
    <row r="57" spans="1:15" ht="34.35" customHeight="1" x14ac:dyDescent="0.3">
      <c r="A57" s="73" t="s">
        <v>471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</row>
    <row r="58" spans="1:15" ht="20.100000000000001" customHeight="1" x14ac:dyDescent="0.3">
      <c r="A58" s="75" t="s">
        <v>472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</row>
    <row r="59" spans="1:15" ht="34.35" customHeight="1" x14ac:dyDescent="0.3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</row>
  </sheetData>
  <mergeCells count="3">
    <mergeCell ref="A56:B56"/>
    <mergeCell ref="A57:O57"/>
    <mergeCell ref="A58:O58"/>
  </mergeCells>
  <phoneticPr fontId="13" type="noConversion"/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S431"/>
  <sheetViews>
    <sheetView tabSelected="1" zoomScale="70" zoomScaleNormal="70" workbookViewId="0">
      <selection activeCell="A5" sqref="A5"/>
    </sheetView>
  </sheetViews>
  <sheetFormatPr defaultRowHeight="16.5" x14ac:dyDescent="0.3"/>
  <cols>
    <col min="2" max="2" width="16.875" style="49" bestFit="1" customWidth="1"/>
    <col min="3" max="3" width="9.5" style="49" bestFit="1" customWidth="1"/>
    <col min="4" max="4" width="25.25" style="49" bestFit="1" customWidth="1"/>
    <col min="5" max="5" width="14.625" style="49" bestFit="1" customWidth="1"/>
    <col min="6" max="6" width="18" style="49" bestFit="1" customWidth="1"/>
    <col min="8" max="8" width="18" style="49" bestFit="1" customWidth="1"/>
    <col min="10" max="10" width="16.125" style="49" bestFit="1" customWidth="1"/>
    <col min="12" max="12" width="17.5" style="49" bestFit="1" customWidth="1"/>
    <col min="16" max="16" width="17.875" style="49" bestFit="1" customWidth="1"/>
    <col min="19" max="19" width="7.875" style="49" customWidth="1"/>
  </cols>
  <sheetData>
    <row r="1" spans="1:18" x14ac:dyDescent="0.3">
      <c r="A1" s="3" t="s">
        <v>473</v>
      </c>
      <c r="B1" s="3" t="s">
        <v>474</v>
      </c>
      <c r="C1" s="3" t="s">
        <v>475</v>
      </c>
      <c r="D1" s="3" t="s">
        <v>474</v>
      </c>
      <c r="E1" s="3" t="s">
        <v>476</v>
      </c>
      <c r="F1" s="3" t="s">
        <v>477</v>
      </c>
      <c r="L1" s="7" t="s">
        <v>478</v>
      </c>
      <c r="P1" s="7" t="s">
        <v>479</v>
      </c>
    </row>
    <row r="2" spans="1:18" x14ac:dyDescent="0.3">
      <c r="A2" s="4" t="s">
        <v>480</v>
      </c>
      <c r="B2" s="4" t="s">
        <v>481</v>
      </c>
      <c r="C2" s="5" t="s">
        <v>482</v>
      </c>
      <c r="D2" s="6" t="str">
        <f>A2&amp;"/"&amp;B2</f>
        <v>LEE/HYUN JU</v>
      </c>
      <c r="E2" s="6" t="str">
        <f>VLOOKUP(C2,'[1]사번,소속,이름'!$A$1:$C$159,3,)</f>
        <v>이현주</v>
      </c>
      <c r="F2" s="5" t="s">
        <v>13</v>
      </c>
      <c r="H2" s="18" t="s">
        <v>13</v>
      </c>
      <c r="L2" s="18" t="str">
        <f>VLOOKUP($C2,[2]Sheet1!$A$2:$L$208,12,0)</f>
        <v>SCM담당</v>
      </c>
      <c r="M2" s="18" t="str">
        <f>VLOOKUP($C2,[2]Sheet1!$A$2:$L$208,2,0)</f>
        <v>이현주</v>
      </c>
      <c r="N2" s="18" t="str">
        <f>VLOOKUP($C2,[2]Sheet1!$A$2:$L$208,11,0)</f>
        <v>기술사무</v>
      </c>
      <c r="P2" s="18" t="str">
        <f>VLOOKUP($C2,[3]Sheet1!$A$2:$L$209,12,0)</f>
        <v>SCM담당</v>
      </c>
      <c r="Q2" s="18" t="str">
        <f>VLOOKUP($C2,[3]Sheet1!$A$2:$L$209,2,0)</f>
        <v>이현주</v>
      </c>
      <c r="R2" s="18" t="str">
        <f>VLOOKUP($C2,[3]Sheet1!$A$2:$L$209,11,0)</f>
        <v>기술사무</v>
      </c>
    </row>
    <row r="3" spans="1:18" x14ac:dyDescent="0.3">
      <c r="A3" s="4" t="s">
        <v>483</v>
      </c>
      <c r="B3" s="4" t="s">
        <v>484</v>
      </c>
      <c r="C3" s="5" t="s">
        <v>485</v>
      </c>
      <c r="D3" s="6" t="str">
        <f t="shared" ref="D2:D65" si="0">A3&amp;"/"&amp;B3</f>
        <v>DO/BOK SOON</v>
      </c>
      <c r="E3" s="6" t="str">
        <f>VLOOKUP(C3,'[1]사번,소속,이름'!$A$1:$C$159,3,)</f>
        <v>도복순</v>
      </c>
      <c r="F3" s="5" t="s">
        <v>13</v>
      </c>
      <c r="H3" s="18" t="s">
        <v>13</v>
      </c>
      <c r="L3" s="18" t="str">
        <f>VLOOKUP($C3,[2]Sheet1!$A$2:$L$208,12,0)</f>
        <v>SCM담당</v>
      </c>
      <c r="M3" s="18" t="str">
        <f>VLOOKUP($C3,[2]Sheet1!$A$2:$L$208,2,0)</f>
        <v>도복순</v>
      </c>
      <c r="N3" s="18" t="str">
        <f>VLOOKUP($C3,[2]Sheet1!$A$2:$L$208,11,0)</f>
        <v>기술사무</v>
      </c>
      <c r="P3" s="18" t="str">
        <f>VLOOKUP($C3,[3]Sheet1!$A$2:$L$209,12,0)</f>
        <v>SCM담당</v>
      </c>
      <c r="Q3" s="18" t="str">
        <f>VLOOKUP($C3,[3]Sheet1!$A$2:$L$209,2,0)</f>
        <v>도복순</v>
      </c>
      <c r="R3" s="18" t="str">
        <f>VLOOKUP($C3,[3]Sheet1!$A$2:$L$209,11,0)</f>
        <v>기술사무</v>
      </c>
    </row>
    <row r="4" spans="1:18" x14ac:dyDescent="0.3">
      <c r="A4" s="4" t="s">
        <v>486</v>
      </c>
      <c r="B4" s="4" t="s">
        <v>487</v>
      </c>
      <c r="C4" s="5" t="s">
        <v>488</v>
      </c>
      <c r="D4" s="6" t="str">
        <f t="shared" si="0"/>
        <v>RHO/SANG GYUN</v>
      </c>
      <c r="E4" s="6" t="str">
        <f>VLOOKUP(C4,'[1]사번,소속,이름'!$A$1:$C$159,3,)</f>
        <v>노상균</v>
      </c>
      <c r="F4" s="5" t="s">
        <v>25</v>
      </c>
      <c r="H4" s="18" t="s">
        <v>25</v>
      </c>
      <c r="L4" s="18" t="str">
        <f>VLOOKUP($C4,[2]Sheet1!$A$2:$L$208,12,0)</f>
        <v>Test팀</v>
      </c>
      <c r="M4" s="18" t="str">
        <f>VLOOKUP($C4,[2]Sheet1!$A$2:$L$208,2,0)</f>
        <v>노상균</v>
      </c>
      <c r="N4" s="18" t="str">
        <f>VLOOKUP($C4,[2]Sheet1!$A$2:$L$208,11,0)</f>
        <v>기술사무</v>
      </c>
      <c r="P4" s="18" t="str">
        <f>VLOOKUP($C4,[3]Sheet1!$A$2:$L$209,12,0)</f>
        <v>Test팀</v>
      </c>
      <c r="Q4" s="18" t="str">
        <f>VLOOKUP($C4,[3]Sheet1!$A$2:$L$209,2,0)</f>
        <v>노상균</v>
      </c>
      <c r="R4" s="18" t="str">
        <f>VLOOKUP($C4,[3]Sheet1!$A$2:$L$209,11,0)</f>
        <v>기술사무</v>
      </c>
    </row>
    <row r="5" spans="1:18" x14ac:dyDescent="0.3">
      <c r="A5" s="4" t="s">
        <v>489</v>
      </c>
      <c r="B5" s="4" t="s">
        <v>490</v>
      </c>
      <c r="C5" s="5" t="s">
        <v>491</v>
      </c>
      <c r="D5" s="6" t="str">
        <f t="shared" si="0"/>
        <v>KANG/JUNGHO</v>
      </c>
      <c r="E5" s="6" t="str">
        <f>VLOOKUP(C5,'[1]사번,소속,이름'!$A$1:$C$159,3,)</f>
        <v>강정호</v>
      </c>
      <c r="F5" s="5" t="e">
        <v>#N/A</v>
      </c>
      <c r="H5" s="18" t="s">
        <v>492</v>
      </c>
      <c r="L5" s="18" t="str">
        <f>VLOOKUP($C5,[2]Sheet1!$A$2:$L$208,12,0)</f>
        <v>자문역</v>
      </c>
      <c r="M5" s="18" t="str">
        <f>VLOOKUP($C5,[2]Sheet1!$A$2:$L$208,2,0)</f>
        <v>강정호</v>
      </c>
      <c r="N5" s="18" t="str">
        <f>VLOOKUP($C5,[2]Sheet1!$A$2:$L$208,11,0)</f>
        <v>임원</v>
      </c>
      <c r="P5" s="18" t="e">
        <f>VLOOKUP($C5,[3]Sheet1!$A$2:$L$209,12,0)</f>
        <v>#N/A</v>
      </c>
      <c r="Q5" s="18" t="e">
        <f>VLOOKUP($C5,[3]Sheet1!$A$2:$L$209,2,0)</f>
        <v>#N/A</v>
      </c>
      <c r="R5" s="18" t="e">
        <f>VLOOKUP($C5,[3]Sheet1!$A$2:$L$209,11,0)</f>
        <v>#N/A</v>
      </c>
    </row>
    <row r="6" spans="1:18" x14ac:dyDescent="0.3">
      <c r="A6" s="4" t="s">
        <v>493</v>
      </c>
      <c r="B6" s="4" t="s">
        <v>494</v>
      </c>
      <c r="C6" s="5" t="s">
        <v>495</v>
      </c>
      <c r="D6" s="6" t="str">
        <f t="shared" si="0"/>
        <v>CHOI/JUNGMIN</v>
      </c>
      <c r="E6" s="6" t="str">
        <f>VLOOKUP(C6,'[1]사번,소속,이름'!$A$1:$C$159,3,)</f>
        <v>최정민</v>
      </c>
      <c r="F6" s="5" t="s">
        <v>496</v>
      </c>
      <c r="H6" s="18" t="s">
        <v>496</v>
      </c>
      <c r="L6" s="18" t="str">
        <f>VLOOKUP($C6,[2]Sheet1!$A$2:$L$208,12,0)</f>
        <v>SCM담당</v>
      </c>
      <c r="M6" s="18" t="str">
        <f>VLOOKUP($C6,[2]Sheet1!$A$2:$L$208,2,0)</f>
        <v>최정민</v>
      </c>
      <c r="N6" s="18" t="str">
        <f>VLOOKUP($C6,[2]Sheet1!$A$2:$L$208,11,0)</f>
        <v>임원</v>
      </c>
      <c r="P6" s="18" t="str">
        <f>VLOOKUP($C6,[3]Sheet1!$A$2:$L$209,12,0)</f>
        <v>SCM담당</v>
      </c>
      <c r="Q6" s="18" t="str">
        <f>VLOOKUP($C6,[3]Sheet1!$A$2:$L$209,2,0)</f>
        <v>최정민</v>
      </c>
      <c r="R6" s="18" t="str">
        <f>VLOOKUP($C6,[3]Sheet1!$A$2:$L$209,11,0)</f>
        <v>임원</v>
      </c>
    </row>
    <row r="7" spans="1:18" x14ac:dyDescent="0.3">
      <c r="A7" s="4" t="s">
        <v>497</v>
      </c>
      <c r="B7" s="4" t="s">
        <v>498</v>
      </c>
      <c r="C7" s="5" t="s">
        <v>499</v>
      </c>
      <c r="D7" s="6" t="str">
        <f t="shared" si="0"/>
        <v>PARK/TAE YONG</v>
      </c>
      <c r="E7" s="6" t="str">
        <f>VLOOKUP(C7,'[1]사번,소속,이름'!$A$1:$C$159,3,)</f>
        <v>박태용</v>
      </c>
      <c r="F7" s="5" t="s">
        <v>21</v>
      </c>
      <c r="H7" s="18" t="s">
        <v>21</v>
      </c>
      <c r="L7" s="18" t="str">
        <f>VLOOKUP($C7,[2]Sheet1!$A$2:$L$208,12,0)</f>
        <v>품질팀</v>
      </c>
      <c r="M7" s="18" t="str">
        <f>VLOOKUP($C7,[2]Sheet1!$A$2:$L$208,2,0)</f>
        <v>박태용</v>
      </c>
      <c r="N7" s="18" t="str">
        <f>VLOOKUP($C7,[2]Sheet1!$A$2:$L$208,11,0)</f>
        <v>기술사무</v>
      </c>
      <c r="P7" s="18" t="str">
        <f>VLOOKUP($C7,[3]Sheet1!$A$2:$L$209,12,0)</f>
        <v>품질팀</v>
      </c>
      <c r="Q7" s="18" t="str">
        <f>VLOOKUP($C7,[3]Sheet1!$A$2:$L$209,2,0)</f>
        <v>박태용</v>
      </c>
      <c r="R7" s="18" t="str">
        <f>VLOOKUP($C7,[3]Sheet1!$A$2:$L$209,11,0)</f>
        <v>기술사무</v>
      </c>
    </row>
    <row r="8" spans="1:18" x14ac:dyDescent="0.3">
      <c r="A8" s="4" t="s">
        <v>480</v>
      </c>
      <c r="B8" s="4" t="s">
        <v>500</v>
      </c>
      <c r="C8" s="5" t="s">
        <v>501</v>
      </c>
      <c r="D8" s="6" t="str">
        <f t="shared" si="0"/>
        <v>LEE/DO HUN</v>
      </c>
      <c r="E8" s="6" t="str">
        <f>VLOOKUP(C8,'[1]사번,소속,이름'!$A$1:$C$159,3,)</f>
        <v>이도훈</v>
      </c>
      <c r="F8" s="5" t="s">
        <v>25</v>
      </c>
      <c r="H8" s="18" t="s">
        <v>25</v>
      </c>
      <c r="L8" s="18" t="str">
        <f>VLOOKUP($C8,[2]Sheet1!$A$2:$L$208,12,0)</f>
        <v>Test팀</v>
      </c>
      <c r="M8" s="18" t="str">
        <f>VLOOKUP($C8,[2]Sheet1!$A$2:$L$208,2,0)</f>
        <v>이도훈</v>
      </c>
      <c r="N8" s="18" t="str">
        <f>VLOOKUP($C8,[2]Sheet1!$A$2:$L$208,11,0)</f>
        <v>기술사무</v>
      </c>
      <c r="P8" s="18" t="str">
        <f>VLOOKUP($C8,[3]Sheet1!$A$2:$L$209,12,0)</f>
        <v>Test팀</v>
      </c>
      <c r="Q8" s="18" t="str">
        <f>VLOOKUP($C8,[3]Sheet1!$A$2:$L$209,2,0)</f>
        <v>이도훈</v>
      </c>
      <c r="R8" s="18" t="str">
        <f>VLOOKUP($C8,[3]Sheet1!$A$2:$L$209,11,0)</f>
        <v>기술사무</v>
      </c>
    </row>
    <row r="9" spans="1:18" x14ac:dyDescent="0.3">
      <c r="A9" s="4" t="s">
        <v>502</v>
      </c>
      <c r="B9" s="4" t="s">
        <v>503</v>
      </c>
      <c r="C9" s="5" t="s">
        <v>504</v>
      </c>
      <c r="D9" s="6" t="str">
        <f t="shared" si="0"/>
        <v>SO/SUN MAN</v>
      </c>
      <c r="E9" s="6" t="str">
        <f>VLOOKUP(C9,'[1]사번,소속,이름'!$A$1:$C$159,3,)</f>
        <v>소순만</v>
      </c>
      <c r="F9" s="5" t="s">
        <v>23</v>
      </c>
      <c r="H9" s="18" t="s">
        <v>23</v>
      </c>
      <c r="L9" s="18" t="str">
        <f>VLOOKUP($C9,[2]Sheet1!$A$2:$L$208,12,0)</f>
        <v>제품기술팀</v>
      </c>
      <c r="M9" s="18" t="str">
        <f>VLOOKUP($C9,[2]Sheet1!$A$2:$L$208,2,0)</f>
        <v>소순만</v>
      </c>
      <c r="N9" s="18" t="str">
        <f>VLOOKUP($C9,[2]Sheet1!$A$2:$L$208,11,0)</f>
        <v>기술사무</v>
      </c>
      <c r="P9" s="18" t="str">
        <f>VLOOKUP($C9,[3]Sheet1!$A$2:$L$209,12,0)</f>
        <v>제품기술팀</v>
      </c>
      <c r="Q9" s="18" t="str">
        <f>VLOOKUP($C9,[3]Sheet1!$A$2:$L$209,2,0)</f>
        <v>소순만</v>
      </c>
      <c r="R9" s="18" t="str">
        <f>VLOOKUP($C9,[3]Sheet1!$A$2:$L$209,11,0)</f>
        <v>기술사무</v>
      </c>
    </row>
    <row r="10" spans="1:18" x14ac:dyDescent="0.3">
      <c r="A10" s="4" t="s">
        <v>505</v>
      </c>
      <c r="B10" s="4" t="s">
        <v>506</v>
      </c>
      <c r="C10" s="5" t="s">
        <v>507</v>
      </c>
      <c r="D10" s="6" t="str">
        <f t="shared" si="0"/>
        <v>KWON/YOUSUK</v>
      </c>
      <c r="E10" s="6" t="str">
        <f>VLOOKUP(C10,'[1]사번,소속,이름'!$A$1:$C$159,3,)</f>
        <v>권유석</v>
      </c>
      <c r="F10" s="5" t="s">
        <v>11</v>
      </c>
      <c r="H10" s="18" t="s">
        <v>11</v>
      </c>
      <c r="L10" s="18" t="str">
        <f>VLOOKUP($C10,[2]Sheet1!$A$2:$L$208,12,0)</f>
        <v>심천지사</v>
      </c>
      <c r="M10" s="18" t="str">
        <f>VLOOKUP($C10,[2]Sheet1!$A$2:$L$208,2,0)</f>
        <v>권유석</v>
      </c>
      <c r="N10" s="18" t="str">
        <f>VLOOKUP($C10,[2]Sheet1!$A$2:$L$208,11,0)</f>
        <v>기술사무</v>
      </c>
      <c r="P10" s="18" t="str">
        <f>VLOOKUP($C10,[3]Sheet1!$A$2:$L$209,12,0)</f>
        <v>심천지사</v>
      </c>
      <c r="Q10" s="18" t="str">
        <f>VLOOKUP($C10,[3]Sheet1!$A$2:$L$209,2,0)</f>
        <v>권유석</v>
      </c>
      <c r="R10" s="18" t="str">
        <f>VLOOKUP($C10,[3]Sheet1!$A$2:$L$209,11,0)</f>
        <v>기술사무</v>
      </c>
    </row>
    <row r="11" spans="1:18" x14ac:dyDescent="0.3">
      <c r="A11" s="4" t="s">
        <v>508</v>
      </c>
      <c r="B11" s="4" t="s">
        <v>509</v>
      </c>
      <c r="C11" s="5" t="s">
        <v>510</v>
      </c>
      <c r="D11" s="6" t="str">
        <f t="shared" si="0"/>
        <v>JU/YANG JUNG</v>
      </c>
      <c r="E11" s="6" t="str">
        <f>VLOOKUP(C11,'[1]사번,소속,이름'!$A$1:$C$159,3,)</f>
        <v>주양중</v>
      </c>
      <c r="F11" s="5" t="s">
        <v>511</v>
      </c>
      <c r="H11" s="18" t="s">
        <v>511</v>
      </c>
      <c r="L11" s="18" t="str">
        <f>VLOOKUP($C11,[2]Sheet1!$A$2:$L$208,12,0)</f>
        <v>IT파트</v>
      </c>
      <c r="M11" s="18" t="str">
        <f>VLOOKUP($C11,[2]Sheet1!$A$2:$L$208,2,0)</f>
        <v>주양중</v>
      </c>
      <c r="N11" s="18" t="str">
        <f>VLOOKUP($C11,[2]Sheet1!$A$2:$L$208,11,0)</f>
        <v>기술사무</v>
      </c>
      <c r="P11" s="18" t="str">
        <f>VLOOKUP($C11,[3]Sheet1!$A$2:$L$209,12,0)</f>
        <v>IT파트</v>
      </c>
      <c r="Q11" s="18" t="str">
        <f>VLOOKUP($C11,[3]Sheet1!$A$2:$L$209,2,0)</f>
        <v>주양중</v>
      </c>
      <c r="R11" s="18" t="str">
        <f>VLOOKUP($C11,[3]Sheet1!$A$2:$L$209,11,0)</f>
        <v>기술사무</v>
      </c>
    </row>
    <row r="12" spans="1:18" x14ac:dyDescent="0.3">
      <c r="A12" s="4" t="s">
        <v>512</v>
      </c>
      <c r="B12" s="4" t="s">
        <v>513</v>
      </c>
      <c r="C12" s="5" t="s">
        <v>514</v>
      </c>
      <c r="D12" s="6" t="str">
        <f t="shared" si="0"/>
        <v>HUH/SE HWA</v>
      </c>
      <c r="E12" s="6" t="str">
        <f>VLOOKUP(C12,'[1]사번,소속,이름'!$A$1:$C$159,3,)</f>
        <v>허세화</v>
      </c>
      <c r="F12" s="5" t="s">
        <v>15</v>
      </c>
      <c r="H12" s="18" t="s">
        <v>15</v>
      </c>
      <c r="L12" s="18" t="str">
        <f>VLOOKUP($C12,[2]Sheet1!$A$2:$L$208,12,0)</f>
        <v>외주생산파트</v>
      </c>
      <c r="M12" s="18" t="str">
        <f>VLOOKUP($C12,[2]Sheet1!$A$2:$L$208,2,0)</f>
        <v>허세화</v>
      </c>
      <c r="N12" s="18" t="str">
        <f>VLOOKUP($C12,[2]Sheet1!$A$2:$L$208,11,0)</f>
        <v>기술사무</v>
      </c>
      <c r="P12" s="18" t="str">
        <f>VLOOKUP($C12,[3]Sheet1!$A$2:$L$209,12,0)</f>
        <v>외주생산파트</v>
      </c>
      <c r="Q12" s="18" t="str">
        <f>VLOOKUP($C12,[3]Sheet1!$A$2:$L$209,2,0)</f>
        <v>허세화</v>
      </c>
      <c r="R12" s="18" t="str">
        <f>VLOOKUP($C12,[3]Sheet1!$A$2:$L$209,11,0)</f>
        <v>기술사무</v>
      </c>
    </row>
    <row r="13" spans="1:18" x14ac:dyDescent="0.3">
      <c r="A13" s="4" t="s">
        <v>515</v>
      </c>
      <c r="B13" s="4" t="s">
        <v>516</v>
      </c>
      <c r="C13" s="5" t="s">
        <v>517</v>
      </c>
      <c r="D13" s="6" t="str">
        <f t="shared" si="0"/>
        <v>SUNG/EUN JOO</v>
      </c>
      <c r="E13" s="6" t="str">
        <f>VLOOKUP(C13,'[1]사번,소속,이름'!$A$1:$C$159,3,)</f>
        <v>성은주</v>
      </c>
      <c r="F13" s="5" t="s">
        <v>15</v>
      </c>
      <c r="H13" s="18" t="s">
        <v>15</v>
      </c>
      <c r="L13" s="18" t="str">
        <f>VLOOKUP($C13,[2]Sheet1!$A$2:$L$208,12,0)</f>
        <v>외주생산파트</v>
      </c>
      <c r="M13" s="18" t="str">
        <f>VLOOKUP($C13,[2]Sheet1!$A$2:$L$208,2,0)</f>
        <v>성은주</v>
      </c>
      <c r="N13" s="18" t="str">
        <f>VLOOKUP($C13,[2]Sheet1!$A$2:$L$208,11,0)</f>
        <v>기술사무</v>
      </c>
      <c r="P13" s="18" t="str">
        <f>VLOOKUP($C13,[3]Sheet1!$A$2:$L$209,12,0)</f>
        <v>외주생산파트</v>
      </c>
      <c r="Q13" s="18" t="str">
        <f>VLOOKUP($C13,[3]Sheet1!$A$2:$L$209,2,0)</f>
        <v>성은주</v>
      </c>
      <c r="R13" s="18" t="str">
        <f>VLOOKUP($C13,[3]Sheet1!$A$2:$L$209,11,0)</f>
        <v>기술사무</v>
      </c>
    </row>
    <row r="14" spans="1:18" x14ac:dyDescent="0.3">
      <c r="A14" s="4" t="s">
        <v>518</v>
      </c>
      <c r="B14" s="4" t="s">
        <v>519</v>
      </c>
      <c r="C14" s="5" t="s">
        <v>520</v>
      </c>
      <c r="D14" s="6" t="str">
        <f t="shared" si="0"/>
        <v>AN/JOO HEE</v>
      </c>
      <c r="E14" s="6" t="str">
        <f>VLOOKUP(C14,'[1]사번,소속,이름'!$A$1:$C$159,3,)</f>
        <v>안주희</v>
      </c>
      <c r="F14" s="5" t="s">
        <v>15</v>
      </c>
      <c r="H14" s="18" t="s">
        <v>15</v>
      </c>
      <c r="L14" s="18" t="str">
        <f>VLOOKUP($C14,[2]Sheet1!$A$2:$L$208,12,0)</f>
        <v>외주생산파트</v>
      </c>
      <c r="M14" s="18" t="str">
        <f>VLOOKUP($C14,[2]Sheet1!$A$2:$L$208,2,0)</f>
        <v>안주희</v>
      </c>
      <c r="N14" s="18" t="str">
        <f>VLOOKUP($C14,[2]Sheet1!$A$2:$L$208,11,0)</f>
        <v>기술사무</v>
      </c>
      <c r="P14" s="18" t="str">
        <f>VLOOKUP($C14,[3]Sheet1!$A$2:$L$209,12,0)</f>
        <v>외주생산파트</v>
      </c>
      <c r="Q14" s="18" t="str">
        <f>VLOOKUP($C14,[3]Sheet1!$A$2:$L$209,2,0)</f>
        <v>안주희</v>
      </c>
      <c r="R14" s="18" t="str">
        <f>VLOOKUP($C14,[3]Sheet1!$A$2:$L$209,11,0)</f>
        <v>기술사무</v>
      </c>
    </row>
    <row r="15" spans="1:18" x14ac:dyDescent="0.3">
      <c r="A15" s="4" t="s">
        <v>521</v>
      </c>
      <c r="B15" s="4" t="s">
        <v>522</v>
      </c>
      <c r="C15" s="5" t="s">
        <v>523</v>
      </c>
      <c r="D15" s="6" t="str">
        <f t="shared" si="0"/>
        <v>KIM/HYUNIL</v>
      </c>
      <c r="E15" s="6" t="str">
        <f>VLOOKUP(C15,'[1]사번,소속,이름'!$A$1:$C$159,3,)</f>
        <v>김현일</v>
      </c>
      <c r="F15" s="5" t="s">
        <v>17</v>
      </c>
      <c r="H15" s="18" t="s">
        <v>17</v>
      </c>
      <c r="L15" s="18" t="str">
        <f>VLOOKUP($C15,[2]Sheet1!$A$2:$L$208,12,0)</f>
        <v>전략구매파트</v>
      </c>
      <c r="M15" s="18" t="str">
        <f>VLOOKUP($C15,[2]Sheet1!$A$2:$L$208,2,0)</f>
        <v>김현일</v>
      </c>
      <c r="N15" s="18" t="str">
        <f>VLOOKUP($C15,[2]Sheet1!$A$2:$L$208,11,0)</f>
        <v>기술사무</v>
      </c>
      <c r="P15" s="18" t="str">
        <f>VLOOKUP($C15,[3]Sheet1!$A$2:$L$209,12,0)</f>
        <v>전략구매파트</v>
      </c>
      <c r="Q15" s="18" t="str">
        <f>VLOOKUP($C15,[3]Sheet1!$A$2:$L$209,2,0)</f>
        <v>김현일</v>
      </c>
      <c r="R15" s="18" t="str">
        <f>VLOOKUP($C15,[3]Sheet1!$A$2:$L$209,11,0)</f>
        <v>기술사무</v>
      </c>
    </row>
    <row r="16" spans="1:18" x14ac:dyDescent="0.3">
      <c r="A16" s="4" t="s">
        <v>497</v>
      </c>
      <c r="B16" s="4" t="s">
        <v>524</v>
      </c>
      <c r="C16" s="5" t="s">
        <v>525</v>
      </c>
      <c r="D16" s="6" t="str">
        <f t="shared" si="0"/>
        <v>PARK/YU BE</v>
      </c>
      <c r="E16" s="6" t="str">
        <f>VLOOKUP(C16,'[1]사번,소속,이름'!$A$1:$C$159,3,)</f>
        <v>박유배</v>
      </c>
      <c r="F16" s="5" t="s">
        <v>23</v>
      </c>
      <c r="H16" s="18" t="s">
        <v>23</v>
      </c>
      <c r="L16" s="18" t="str">
        <f>VLOOKUP($C16,[2]Sheet1!$A$2:$L$208,12,0)</f>
        <v>제품기술팀</v>
      </c>
      <c r="M16" s="18" t="str">
        <f>VLOOKUP($C16,[2]Sheet1!$A$2:$L$208,2,0)</f>
        <v>박유배</v>
      </c>
      <c r="N16" s="18" t="str">
        <f>VLOOKUP($C16,[2]Sheet1!$A$2:$L$208,11,0)</f>
        <v>기술사무</v>
      </c>
      <c r="P16" s="18" t="str">
        <f>VLOOKUP($C16,[3]Sheet1!$A$2:$L$209,12,0)</f>
        <v>제품기술팀</v>
      </c>
      <c r="Q16" s="18" t="str">
        <f>VLOOKUP($C16,[3]Sheet1!$A$2:$L$209,2,0)</f>
        <v>박유배</v>
      </c>
      <c r="R16" s="18" t="str">
        <f>VLOOKUP($C16,[3]Sheet1!$A$2:$L$209,11,0)</f>
        <v>기술사무</v>
      </c>
    </row>
    <row r="17" spans="1:18" x14ac:dyDescent="0.3">
      <c r="A17" s="4" t="s">
        <v>497</v>
      </c>
      <c r="B17" s="4" t="s">
        <v>526</v>
      </c>
      <c r="C17" s="5" t="s">
        <v>527</v>
      </c>
      <c r="D17" s="6" t="str">
        <f t="shared" si="0"/>
        <v>PARK/JEONG TAE</v>
      </c>
      <c r="E17" s="6" t="str">
        <f>VLOOKUP(C17,'[1]사번,소속,이름'!$A$1:$C$159,3,)</f>
        <v>박정태</v>
      </c>
      <c r="F17" s="5" t="s">
        <v>19</v>
      </c>
      <c r="H17" s="18" t="s">
        <v>19</v>
      </c>
      <c r="L17" s="18" t="str">
        <f>VLOOKUP($C17,[2]Sheet1!$A$2:$L$208,12,0)</f>
        <v>기술지원담당</v>
      </c>
      <c r="M17" s="18" t="str">
        <f>VLOOKUP($C17,[2]Sheet1!$A$2:$L$208,2,0)</f>
        <v>박정태</v>
      </c>
      <c r="N17" s="18" t="str">
        <f>VLOOKUP($C17,[2]Sheet1!$A$2:$L$208,11,0)</f>
        <v>임원</v>
      </c>
      <c r="P17" s="18" t="str">
        <f>VLOOKUP($C17,[3]Sheet1!$A$2:$L$209,12,0)</f>
        <v>기술지원담당</v>
      </c>
      <c r="Q17" s="18" t="str">
        <f>VLOOKUP($C17,[3]Sheet1!$A$2:$L$209,2,0)</f>
        <v>박정태</v>
      </c>
      <c r="R17" s="18" t="str">
        <f>VLOOKUP($C17,[3]Sheet1!$A$2:$L$209,11,0)</f>
        <v>임원</v>
      </c>
    </row>
    <row r="18" spans="1:18" x14ac:dyDescent="0.3">
      <c r="A18" s="4" t="s">
        <v>521</v>
      </c>
      <c r="B18" s="4" t="s">
        <v>528</v>
      </c>
      <c r="C18" s="5" t="s">
        <v>529</v>
      </c>
      <c r="D18" s="6" t="str">
        <f t="shared" si="0"/>
        <v>KIM/SAN HONG</v>
      </c>
      <c r="E18" s="6" t="str">
        <f>VLOOKUP(C18,'[1]사번,소속,이름'!$A$1:$C$159,3,)</f>
        <v>김산홍</v>
      </c>
      <c r="F18" s="5" t="s">
        <v>23</v>
      </c>
      <c r="H18" s="18" t="s">
        <v>23</v>
      </c>
      <c r="L18" s="18" t="str">
        <f>VLOOKUP($C18,[2]Sheet1!$A$2:$L$208,12,0)</f>
        <v>제품기술팀</v>
      </c>
      <c r="M18" s="18" t="str">
        <f>VLOOKUP($C18,[2]Sheet1!$A$2:$L$208,2,0)</f>
        <v>김산홍</v>
      </c>
      <c r="N18" s="18" t="str">
        <f>VLOOKUP($C18,[2]Sheet1!$A$2:$L$208,11,0)</f>
        <v>기술사무</v>
      </c>
      <c r="P18" s="18" t="str">
        <f>VLOOKUP($C18,[3]Sheet1!$A$2:$L$209,12,0)</f>
        <v>제품기술팀</v>
      </c>
      <c r="Q18" s="18" t="str">
        <f>VLOOKUP($C18,[3]Sheet1!$A$2:$L$209,2,0)</f>
        <v>김산홍</v>
      </c>
      <c r="R18" s="18" t="str">
        <f>VLOOKUP($C18,[3]Sheet1!$A$2:$L$209,11,0)</f>
        <v>기술사무</v>
      </c>
    </row>
    <row r="19" spans="1:18" x14ac:dyDescent="0.3">
      <c r="A19" s="4" t="s">
        <v>515</v>
      </c>
      <c r="B19" s="4" t="s">
        <v>530</v>
      </c>
      <c r="C19" s="5" t="s">
        <v>531</v>
      </c>
      <c r="D19" s="6" t="str">
        <f t="shared" si="0"/>
        <v>SUNG/JAEUNG</v>
      </c>
      <c r="E19" s="6" t="str">
        <f>VLOOKUP(C19,'[1]사번,소속,이름'!$A$1:$C$159,3,)</f>
        <v>성재웅</v>
      </c>
      <c r="F19" s="5" t="s">
        <v>21</v>
      </c>
      <c r="H19" s="18" t="s">
        <v>21</v>
      </c>
      <c r="L19" s="18" t="str">
        <f>VLOOKUP($C19,[2]Sheet1!$A$2:$L$208,12,0)</f>
        <v>품질팀</v>
      </c>
      <c r="M19" s="18" t="str">
        <f>VLOOKUP($C19,[2]Sheet1!$A$2:$L$208,2,0)</f>
        <v>성재웅</v>
      </c>
      <c r="N19" s="18" t="str">
        <f>VLOOKUP($C19,[2]Sheet1!$A$2:$L$208,11,0)</f>
        <v>기술사무</v>
      </c>
      <c r="P19" s="18" t="str">
        <f>VLOOKUP($C19,[3]Sheet1!$A$2:$L$209,12,0)</f>
        <v>품질팀</v>
      </c>
      <c r="Q19" s="18" t="str">
        <f>VLOOKUP($C19,[3]Sheet1!$A$2:$L$209,2,0)</f>
        <v>성재웅</v>
      </c>
      <c r="R19" s="18" t="str">
        <f>VLOOKUP($C19,[3]Sheet1!$A$2:$L$209,11,0)</f>
        <v>기술사무</v>
      </c>
    </row>
    <row r="20" spans="1:18" x14ac:dyDescent="0.3">
      <c r="A20" s="4" t="s">
        <v>532</v>
      </c>
      <c r="B20" s="4" t="s">
        <v>533</v>
      </c>
      <c r="C20" s="5" t="s">
        <v>534</v>
      </c>
      <c r="D20" s="6" t="str">
        <f t="shared" si="0"/>
        <v>YEO/SEUNGJIN</v>
      </c>
      <c r="E20" s="6" t="str">
        <f>VLOOKUP(C20,'[1]사번,소속,이름'!$A$1:$C$159,3,)</f>
        <v>여승진</v>
      </c>
      <c r="F20" s="5" t="s">
        <v>43</v>
      </c>
      <c r="H20" s="18" t="s">
        <v>535</v>
      </c>
      <c r="L20" s="18" t="str">
        <f>VLOOKUP($C20,[2]Sheet1!$A$2:$L$208,12,0)</f>
        <v>Interface파트(1팀)</v>
      </c>
      <c r="M20" s="18" t="str">
        <f>VLOOKUP($C20,[2]Sheet1!$A$2:$L$208,2,0)</f>
        <v>여승진</v>
      </c>
      <c r="N20" s="18" t="str">
        <f>VLOOKUP($C20,[2]Sheet1!$A$2:$L$208,11,0)</f>
        <v>기술사무</v>
      </c>
      <c r="P20" s="18" t="str">
        <f>VLOOKUP($C20,[3]Sheet1!$A$2:$L$209,12,0)</f>
        <v>Interface파트</v>
      </c>
      <c r="Q20" s="18" t="str">
        <f>VLOOKUP($C20,[3]Sheet1!$A$2:$L$209,2,0)</f>
        <v>여승진</v>
      </c>
      <c r="R20" s="18" t="str">
        <f>VLOOKUP($C20,[3]Sheet1!$A$2:$L$209,11,0)</f>
        <v>기술사무</v>
      </c>
    </row>
    <row r="21" spans="1:18" x14ac:dyDescent="0.3">
      <c r="A21" s="4" t="s">
        <v>497</v>
      </c>
      <c r="B21" s="4" t="s">
        <v>536</v>
      </c>
      <c r="C21" s="5" t="s">
        <v>537</v>
      </c>
      <c r="D21" s="6" t="str">
        <f t="shared" si="0"/>
        <v>PARK/JOON YOUNG</v>
      </c>
      <c r="E21" s="6" t="str">
        <f>VLOOKUP(C21,'[1]사번,소속,이름'!$A$1:$C$159,3,)</f>
        <v>박준영</v>
      </c>
      <c r="F21" s="5" t="s">
        <v>25</v>
      </c>
      <c r="H21" s="18" t="s">
        <v>25</v>
      </c>
      <c r="L21" s="18" t="str">
        <f>VLOOKUP($C21,[2]Sheet1!$A$2:$L$208,12,0)</f>
        <v>Test팀</v>
      </c>
      <c r="M21" s="18" t="str">
        <f>VLOOKUP($C21,[2]Sheet1!$A$2:$L$208,2,0)</f>
        <v>박준영</v>
      </c>
      <c r="N21" s="18" t="str">
        <f>VLOOKUP($C21,[2]Sheet1!$A$2:$L$208,11,0)</f>
        <v>기술사무</v>
      </c>
      <c r="P21" s="18" t="str">
        <f>VLOOKUP($C21,[3]Sheet1!$A$2:$L$209,12,0)</f>
        <v>Test팀</v>
      </c>
      <c r="Q21" s="18" t="str">
        <f>VLOOKUP($C21,[3]Sheet1!$A$2:$L$209,2,0)</f>
        <v>박준영</v>
      </c>
      <c r="R21" s="18" t="str">
        <f>VLOOKUP($C21,[3]Sheet1!$A$2:$L$209,11,0)</f>
        <v>기술사무</v>
      </c>
    </row>
    <row r="22" spans="1:18" x14ac:dyDescent="0.3">
      <c r="A22" s="4" t="s">
        <v>521</v>
      </c>
      <c r="B22" s="4" t="s">
        <v>538</v>
      </c>
      <c r="C22" s="5" t="s">
        <v>539</v>
      </c>
      <c r="D22" s="6" t="str">
        <f t="shared" si="0"/>
        <v>KIM/KI IL</v>
      </c>
      <c r="E22" s="6" t="str">
        <f>VLOOKUP(C22,'[1]사번,소속,이름'!$A$1:$C$159,3,)</f>
        <v>김기일</v>
      </c>
      <c r="F22" s="5" t="s">
        <v>37</v>
      </c>
      <c r="H22" s="18" t="s">
        <v>540</v>
      </c>
      <c r="L22" s="18" t="str">
        <f>VLOOKUP($C22,[2]Sheet1!$A$2:$L$208,12,0)</f>
        <v>Logic파트(2팀)</v>
      </c>
      <c r="M22" s="18" t="str">
        <f>VLOOKUP($C22,[2]Sheet1!$A$2:$L$208,2,0)</f>
        <v>김기일</v>
      </c>
      <c r="N22" s="18" t="str">
        <f>VLOOKUP($C22,[2]Sheet1!$A$2:$L$208,11,0)</f>
        <v>기술사무</v>
      </c>
      <c r="P22" s="18" t="str">
        <f>VLOOKUP($C22,[3]Sheet1!$A$2:$L$209,12,0)</f>
        <v>Logic파트</v>
      </c>
      <c r="Q22" s="18" t="str">
        <f>VLOOKUP($C22,[3]Sheet1!$A$2:$L$209,2,0)</f>
        <v>김기일</v>
      </c>
      <c r="R22" s="18" t="str">
        <f>VLOOKUP($C22,[3]Sheet1!$A$2:$L$209,11,0)</f>
        <v>기술사무</v>
      </c>
    </row>
    <row r="23" spans="1:18" x14ac:dyDescent="0.3">
      <c r="A23" s="4" t="s">
        <v>521</v>
      </c>
      <c r="B23" s="4" t="s">
        <v>541</v>
      </c>
      <c r="C23" s="5" t="s">
        <v>542</v>
      </c>
      <c r="D23" s="6" t="str">
        <f t="shared" si="0"/>
        <v>KIM/HEEJIN</v>
      </c>
      <c r="E23" s="6" t="str">
        <f>VLOOKUP(C23,'[1]사번,소속,이름'!$A$1:$C$159,3,)</f>
        <v>김희진</v>
      </c>
      <c r="F23" s="5" t="s">
        <v>27</v>
      </c>
      <c r="H23" s="18" t="s">
        <v>27</v>
      </c>
      <c r="L23" s="18" t="str">
        <f>VLOOKUP($C23,[2]Sheet1!$A$2:$L$208,12,0)</f>
        <v>PKG파트</v>
      </c>
      <c r="M23" s="18" t="str">
        <f>VLOOKUP($C23,[2]Sheet1!$A$2:$L$208,2,0)</f>
        <v>김희진</v>
      </c>
      <c r="N23" s="18" t="str">
        <f>VLOOKUP($C23,[2]Sheet1!$A$2:$L$208,11,0)</f>
        <v>기술사무</v>
      </c>
      <c r="P23" s="18" t="str">
        <f>VLOOKUP($C23,[3]Sheet1!$A$2:$L$209,12,0)</f>
        <v>PKG파트</v>
      </c>
      <c r="Q23" s="18" t="str">
        <f>VLOOKUP($C23,[3]Sheet1!$A$2:$L$209,2,0)</f>
        <v>김희진</v>
      </c>
      <c r="R23" s="18" t="str">
        <f>VLOOKUP($C23,[3]Sheet1!$A$2:$L$209,11,0)</f>
        <v>기술사무</v>
      </c>
    </row>
    <row r="24" spans="1:18" x14ac:dyDescent="0.3">
      <c r="A24" s="4" t="s">
        <v>543</v>
      </c>
      <c r="B24" s="4" t="s">
        <v>544</v>
      </c>
      <c r="C24" s="5" t="s">
        <v>545</v>
      </c>
      <c r="D24" s="6" t="str">
        <f t="shared" si="0"/>
        <v>CHA/SEUNG HYUN</v>
      </c>
      <c r="E24" s="6" t="str">
        <f>VLOOKUP(C24,'[1]사번,소속,이름'!$A$1:$C$159,3,)</f>
        <v>차승현</v>
      </c>
      <c r="F24" s="5" t="s">
        <v>15</v>
      </c>
      <c r="H24" s="18" t="s">
        <v>15</v>
      </c>
      <c r="L24" s="18" t="str">
        <f>VLOOKUP($C24,[2]Sheet1!$A$2:$L$208,12,0)</f>
        <v>외주생산파트</v>
      </c>
      <c r="M24" s="18" t="str">
        <f>VLOOKUP($C24,[2]Sheet1!$A$2:$L$208,2,0)</f>
        <v>차승현</v>
      </c>
      <c r="N24" s="18" t="str">
        <f>VLOOKUP($C24,[2]Sheet1!$A$2:$L$208,11,0)</f>
        <v>기술사무</v>
      </c>
      <c r="P24" s="18" t="str">
        <f>VLOOKUP($C24,[3]Sheet1!$A$2:$L$209,12,0)</f>
        <v>외주생산파트</v>
      </c>
      <c r="Q24" s="18" t="str">
        <f>VLOOKUP($C24,[3]Sheet1!$A$2:$L$209,2,0)</f>
        <v>차승현</v>
      </c>
      <c r="R24" s="18" t="str">
        <f>VLOOKUP($C24,[3]Sheet1!$A$2:$L$209,11,0)</f>
        <v>기술사무</v>
      </c>
    </row>
    <row r="25" spans="1:18" x14ac:dyDescent="0.3">
      <c r="A25" s="4" t="s">
        <v>546</v>
      </c>
      <c r="B25" s="4" t="s">
        <v>547</v>
      </c>
      <c r="C25" s="5" t="s">
        <v>548</v>
      </c>
      <c r="D25" s="6" t="str">
        <f t="shared" si="0"/>
        <v>ROH/SANGHOON</v>
      </c>
      <c r="E25" s="6" t="str">
        <f>VLOOKUP(C25,'[1]사번,소속,이름'!$A$1:$C$159,3,)</f>
        <v>노상훈</v>
      </c>
      <c r="F25" s="5" t="s">
        <v>23</v>
      </c>
      <c r="H25" s="18" t="s">
        <v>23</v>
      </c>
      <c r="L25" s="18" t="str">
        <f>VLOOKUP($C25,[2]Sheet1!$A$2:$L$208,12,0)</f>
        <v>제품기술팀</v>
      </c>
      <c r="M25" s="18" t="str">
        <f>VLOOKUP($C25,[2]Sheet1!$A$2:$L$208,2,0)</f>
        <v>노상훈</v>
      </c>
      <c r="N25" s="18" t="str">
        <f>VLOOKUP($C25,[2]Sheet1!$A$2:$L$208,11,0)</f>
        <v>기술사무</v>
      </c>
      <c r="P25" s="18" t="str">
        <f>VLOOKUP($C25,[3]Sheet1!$A$2:$L$209,12,0)</f>
        <v>제품기술팀</v>
      </c>
      <c r="Q25" s="18" t="str">
        <f>VLOOKUP($C25,[3]Sheet1!$A$2:$L$209,2,0)</f>
        <v>노상훈</v>
      </c>
      <c r="R25" s="18" t="str">
        <f>VLOOKUP($C25,[3]Sheet1!$A$2:$L$209,11,0)</f>
        <v>기술사무</v>
      </c>
    </row>
    <row r="26" spans="1:18" x14ac:dyDescent="0.3">
      <c r="A26" s="4" t="s">
        <v>549</v>
      </c>
      <c r="B26" s="4" t="s">
        <v>550</v>
      </c>
      <c r="C26" s="5" t="s">
        <v>551</v>
      </c>
      <c r="D26" s="6" t="str">
        <f t="shared" si="0"/>
        <v>JANG/SEUNGWON</v>
      </c>
      <c r="E26" s="6" t="str">
        <f>VLOOKUP(C26,'[1]사번,소속,이름'!$A$1:$C$159,3,)</f>
        <v>장승원</v>
      </c>
      <c r="F26" s="5" t="s">
        <v>552</v>
      </c>
      <c r="H26" s="18" t="s">
        <v>552</v>
      </c>
      <c r="L26" s="18" t="str">
        <f>VLOOKUP($C26,[2]Sheet1!$A$2:$L$208,12,0)</f>
        <v>재무관리팀</v>
      </c>
      <c r="M26" s="18" t="str">
        <f>VLOOKUP($C26,[2]Sheet1!$A$2:$L$208,2,0)</f>
        <v>장승원</v>
      </c>
      <c r="N26" s="18" t="str">
        <f>VLOOKUP($C26,[2]Sheet1!$A$2:$L$208,11,0)</f>
        <v>기술사무</v>
      </c>
      <c r="P26" s="18" t="str">
        <f>VLOOKUP($C26,[3]Sheet1!$A$2:$L$209,12,0)</f>
        <v>재무관리팀</v>
      </c>
      <c r="Q26" s="18" t="str">
        <f>VLOOKUP($C26,[3]Sheet1!$A$2:$L$209,2,0)</f>
        <v>장승원</v>
      </c>
      <c r="R26" s="18" t="str">
        <f>VLOOKUP($C26,[3]Sheet1!$A$2:$L$209,11,0)</f>
        <v>기술사무</v>
      </c>
    </row>
    <row r="27" spans="1:18" x14ac:dyDescent="0.3">
      <c r="A27" s="4" t="s">
        <v>486</v>
      </c>
      <c r="B27" s="4" t="s">
        <v>553</v>
      </c>
      <c r="C27" s="5" t="s">
        <v>554</v>
      </c>
      <c r="D27" s="6" t="str">
        <f t="shared" si="0"/>
        <v>RHO/JEONGHO</v>
      </c>
      <c r="E27" s="6" t="str">
        <f>VLOOKUP(C27,'[1]사번,소속,이름'!$A$1:$C$159,3,)</f>
        <v>노정호</v>
      </c>
      <c r="F27" s="5" t="s">
        <v>17</v>
      </c>
      <c r="H27" s="18" t="s">
        <v>17</v>
      </c>
      <c r="L27" s="18" t="str">
        <f>VLOOKUP($C27,[2]Sheet1!$A$2:$L$208,12,0)</f>
        <v>전략구매파트</v>
      </c>
      <c r="M27" s="18" t="str">
        <f>VLOOKUP($C27,[2]Sheet1!$A$2:$L$208,2,0)</f>
        <v>노정호</v>
      </c>
      <c r="N27" s="18" t="str">
        <f>VLOOKUP($C27,[2]Sheet1!$A$2:$L$208,11,0)</f>
        <v>기술사무</v>
      </c>
      <c r="P27" s="18" t="str">
        <f>VLOOKUP($C27,[3]Sheet1!$A$2:$L$209,12,0)</f>
        <v>전략구매파트</v>
      </c>
      <c r="Q27" s="18" t="str">
        <f>VLOOKUP($C27,[3]Sheet1!$A$2:$L$209,2,0)</f>
        <v>노정호</v>
      </c>
      <c r="R27" s="18" t="str">
        <f>VLOOKUP($C27,[3]Sheet1!$A$2:$L$209,11,0)</f>
        <v>기술사무</v>
      </c>
    </row>
    <row r="28" spans="1:18" x14ac:dyDescent="0.3">
      <c r="A28" s="4" t="s">
        <v>489</v>
      </c>
      <c r="B28" s="4" t="s">
        <v>555</v>
      </c>
      <c r="C28" s="5" t="s">
        <v>556</v>
      </c>
      <c r="D28" s="6" t="str">
        <f t="shared" si="0"/>
        <v>KANG/WAN GYU</v>
      </c>
      <c r="E28" s="6" t="str">
        <f>VLOOKUP(C28,'[1]사번,소속,이름'!$A$1:$C$159,3,)</f>
        <v>강완규</v>
      </c>
      <c r="F28" s="5" t="s">
        <v>21</v>
      </c>
      <c r="H28" s="18" t="s">
        <v>21</v>
      </c>
      <c r="L28" s="18" t="str">
        <f>VLOOKUP($C28,[2]Sheet1!$A$2:$L$208,12,0)</f>
        <v>품질팀</v>
      </c>
      <c r="M28" s="18" t="str">
        <f>VLOOKUP($C28,[2]Sheet1!$A$2:$L$208,2,0)</f>
        <v>강완규</v>
      </c>
      <c r="N28" s="18" t="str">
        <f>VLOOKUP($C28,[2]Sheet1!$A$2:$L$208,11,0)</f>
        <v>기술사무</v>
      </c>
      <c r="P28" s="18" t="str">
        <f>VLOOKUP($C28,[3]Sheet1!$A$2:$L$209,12,0)</f>
        <v>품질팀</v>
      </c>
      <c r="Q28" s="18" t="str">
        <f>VLOOKUP($C28,[3]Sheet1!$A$2:$L$209,2,0)</f>
        <v>강완규</v>
      </c>
      <c r="R28" s="18" t="str">
        <f>VLOOKUP($C28,[3]Sheet1!$A$2:$L$209,11,0)</f>
        <v>기술사무</v>
      </c>
    </row>
    <row r="29" spans="1:18" x14ac:dyDescent="0.3">
      <c r="A29" s="4" t="s">
        <v>521</v>
      </c>
      <c r="B29" s="4" t="s">
        <v>557</v>
      </c>
      <c r="C29" s="5" t="s">
        <v>558</v>
      </c>
      <c r="D29" s="6" t="str">
        <f t="shared" si="0"/>
        <v>KIM/DUCK JUN</v>
      </c>
      <c r="E29" s="6" t="str">
        <f>VLOOKUP(C29,'[1]사번,소속,이름'!$A$1:$C$159,3,)</f>
        <v>김덕준</v>
      </c>
      <c r="F29" s="5" t="s">
        <v>25</v>
      </c>
      <c r="H29" s="18" t="s">
        <v>25</v>
      </c>
      <c r="L29" s="18" t="str">
        <f>VLOOKUP($C29,[2]Sheet1!$A$2:$L$208,12,0)</f>
        <v>Test팀</v>
      </c>
      <c r="M29" s="18" t="str">
        <f>VLOOKUP($C29,[2]Sheet1!$A$2:$L$208,2,0)</f>
        <v>김덕준</v>
      </c>
      <c r="N29" s="18" t="str">
        <f>VLOOKUP($C29,[2]Sheet1!$A$2:$L$208,11,0)</f>
        <v>기술사무</v>
      </c>
      <c r="P29" s="18" t="str">
        <f>VLOOKUP($C29,[3]Sheet1!$A$2:$L$209,12,0)</f>
        <v>Test팀</v>
      </c>
      <c r="Q29" s="18" t="str">
        <f>VLOOKUP($C29,[3]Sheet1!$A$2:$L$209,2,0)</f>
        <v>김덕준</v>
      </c>
      <c r="R29" s="18" t="str">
        <f>VLOOKUP($C29,[3]Sheet1!$A$2:$L$209,11,0)</f>
        <v>기술사무</v>
      </c>
    </row>
    <row r="30" spans="1:18" x14ac:dyDescent="0.3">
      <c r="A30" s="4" t="s">
        <v>480</v>
      </c>
      <c r="B30" s="4" t="s">
        <v>559</v>
      </c>
      <c r="C30" s="5" t="s">
        <v>560</v>
      </c>
      <c r="D30" s="6" t="str">
        <f t="shared" si="0"/>
        <v>LEE/JIN AH</v>
      </c>
      <c r="E30" s="6" t="str">
        <f>VLOOKUP(C30,'[1]사번,소속,이름'!$A$1:$C$159,3,)</f>
        <v>이진아</v>
      </c>
      <c r="F30" s="5" t="s">
        <v>38</v>
      </c>
      <c r="H30" s="18" t="s">
        <v>540</v>
      </c>
      <c r="L30" s="18" t="str">
        <f>VLOOKUP($C30,[2]Sheet1!$A$2:$L$208,12,0)</f>
        <v>Logic파트(2팀)</v>
      </c>
      <c r="M30" s="18" t="str">
        <f>VLOOKUP($C30,[2]Sheet1!$A$2:$L$208,2,0)</f>
        <v>이진아</v>
      </c>
      <c r="N30" s="18" t="str">
        <f>VLOOKUP($C30,[2]Sheet1!$A$2:$L$208,11,0)</f>
        <v>기술사무</v>
      </c>
      <c r="P30" s="18" t="str">
        <f>VLOOKUP($C30,[3]Sheet1!$A$2:$L$209,12,0)</f>
        <v>Digital IP파트</v>
      </c>
      <c r="Q30" s="18" t="str">
        <f>VLOOKUP($C30,[3]Sheet1!$A$2:$L$209,2,0)</f>
        <v>이진아</v>
      </c>
      <c r="R30" s="18" t="str">
        <f>VLOOKUP($C30,[3]Sheet1!$A$2:$L$209,11,0)</f>
        <v>기술사무</v>
      </c>
    </row>
    <row r="31" spans="1:18" x14ac:dyDescent="0.3">
      <c r="A31" s="4" t="s">
        <v>497</v>
      </c>
      <c r="B31" s="4" t="s">
        <v>561</v>
      </c>
      <c r="C31" s="5" t="s">
        <v>562</v>
      </c>
      <c r="D31" s="6" t="str">
        <f t="shared" si="0"/>
        <v>PARK/YOUNG GEON</v>
      </c>
      <c r="E31" s="6" t="str">
        <f>VLOOKUP(C31,'[1]사번,소속,이름'!$A$1:$C$159,3,)</f>
        <v>박영건</v>
      </c>
      <c r="F31" s="5" t="s">
        <v>21</v>
      </c>
      <c r="H31" s="18" t="s">
        <v>21</v>
      </c>
      <c r="L31" s="18" t="str">
        <f>VLOOKUP($C31,[2]Sheet1!$A$2:$L$208,12,0)</f>
        <v>품질팀</v>
      </c>
      <c r="M31" s="18" t="str">
        <f>VLOOKUP($C31,[2]Sheet1!$A$2:$L$208,2,0)</f>
        <v>박영건</v>
      </c>
      <c r="N31" s="18" t="str">
        <f>VLOOKUP($C31,[2]Sheet1!$A$2:$L$208,11,0)</f>
        <v>기술사무</v>
      </c>
      <c r="P31" s="18" t="str">
        <f>VLOOKUP($C31,[3]Sheet1!$A$2:$L$209,12,0)</f>
        <v>품질팀</v>
      </c>
      <c r="Q31" s="18" t="str">
        <f>VLOOKUP($C31,[3]Sheet1!$A$2:$L$209,2,0)</f>
        <v>박영건</v>
      </c>
      <c r="R31" s="18" t="str">
        <f>VLOOKUP($C31,[3]Sheet1!$A$2:$L$209,11,0)</f>
        <v>기술사무</v>
      </c>
    </row>
    <row r="32" spans="1:18" x14ac:dyDescent="0.3">
      <c r="A32" s="4" t="s">
        <v>521</v>
      </c>
      <c r="B32" s="4" t="s">
        <v>563</v>
      </c>
      <c r="C32" s="5" t="s">
        <v>564</v>
      </c>
      <c r="D32" s="6" t="str">
        <f t="shared" si="0"/>
        <v>KIM/MIN SUN</v>
      </c>
      <c r="E32" s="6" t="str">
        <f>VLOOKUP(C32,'[1]사번,소속,이름'!$A$1:$C$159,3,)</f>
        <v>김민선</v>
      </c>
      <c r="F32" s="5" t="s">
        <v>27</v>
      </c>
      <c r="H32" s="18" t="s">
        <v>27</v>
      </c>
      <c r="L32" s="18" t="str">
        <f>VLOOKUP($C32,[2]Sheet1!$A$2:$L$208,12,0)</f>
        <v>PKG파트</v>
      </c>
      <c r="M32" s="18" t="str">
        <f>VLOOKUP($C32,[2]Sheet1!$A$2:$L$208,2,0)</f>
        <v>김민선</v>
      </c>
      <c r="N32" s="18" t="str">
        <f>VLOOKUP($C32,[2]Sheet1!$A$2:$L$208,11,0)</f>
        <v>기술사무</v>
      </c>
      <c r="P32" s="18" t="str">
        <f>VLOOKUP($C32,[3]Sheet1!$A$2:$L$209,12,0)</f>
        <v>PKG파트</v>
      </c>
      <c r="Q32" s="18" t="str">
        <f>VLOOKUP($C32,[3]Sheet1!$A$2:$L$209,2,0)</f>
        <v>김민선</v>
      </c>
      <c r="R32" s="18" t="str">
        <f>VLOOKUP($C32,[3]Sheet1!$A$2:$L$209,11,0)</f>
        <v>기술사무</v>
      </c>
    </row>
    <row r="33" spans="1:18" x14ac:dyDescent="0.3">
      <c r="A33" s="4" t="s">
        <v>480</v>
      </c>
      <c r="B33" s="4" t="s">
        <v>565</v>
      </c>
      <c r="C33" s="5" t="s">
        <v>566</v>
      </c>
      <c r="D33" s="6" t="str">
        <f t="shared" si="0"/>
        <v>LEE/SANG HUN</v>
      </c>
      <c r="E33" s="6" t="str">
        <f>VLOOKUP(C33,'[1]사번,소속,이름'!$A$1:$C$159,3,)</f>
        <v>이상훈</v>
      </c>
      <c r="F33" s="5" t="s">
        <v>43</v>
      </c>
      <c r="H33" s="18" t="s">
        <v>535</v>
      </c>
      <c r="L33" s="18" t="str">
        <f>VLOOKUP($C33,[2]Sheet1!$A$2:$L$208,12,0)</f>
        <v>Interface파트(1팀)</v>
      </c>
      <c r="M33" s="18" t="str">
        <f>VLOOKUP($C33,[2]Sheet1!$A$2:$L$208,2,0)</f>
        <v>이상훈</v>
      </c>
      <c r="N33" s="18" t="str">
        <f>VLOOKUP($C33,[2]Sheet1!$A$2:$L$208,11,0)</f>
        <v>기술사무</v>
      </c>
      <c r="P33" s="18" t="str">
        <f>VLOOKUP($C33,[3]Sheet1!$A$2:$L$209,12,0)</f>
        <v>Interface파트</v>
      </c>
      <c r="Q33" s="18" t="str">
        <f>VLOOKUP($C33,[3]Sheet1!$A$2:$L$209,2,0)</f>
        <v>이상훈</v>
      </c>
      <c r="R33" s="18" t="str">
        <f>VLOOKUP($C33,[3]Sheet1!$A$2:$L$209,11,0)</f>
        <v>기술사무</v>
      </c>
    </row>
    <row r="34" spans="1:18" x14ac:dyDescent="0.3">
      <c r="A34" s="4" t="s">
        <v>567</v>
      </c>
      <c r="B34" s="4" t="s">
        <v>568</v>
      </c>
      <c r="C34" s="5" t="s">
        <v>569</v>
      </c>
      <c r="D34" s="6" t="str">
        <f t="shared" si="0"/>
        <v>CHO/YOUNG A</v>
      </c>
      <c r="E34" s="6" t="str">
        <f>VLOOKUP(C34,'[1]사번,소속,이름'!$A$1:$C$159,3,)</f>
        <v>조영아</v>
      </c>
      <c r="F34" s="5" t="s">
        <v>48</v>
      </c>
      <c r="H34" s="18" t="s">
        <v>48</v>
      </c>
      <c r="L34" s="18" t="str">
        <f>VLOOKUP($C34,[2]Sheet1!$A$2:$L$208,12,0)</f>
        <v>PMIC마케팅파트</v>
      </c>
      <c r="M34" s="18" t="str">
        <f>VLOOKUP($C34,[2]Sheet1!$A$2:$L$208,2,0)</f>
        <v>조영아</v>
      </c>
      <c r="N34" s="18" t="str">
        <f>VLOOKUP($C34,[2]Sheet1!$A$2:$L$208,11,0)</f>
        <v>기술사무</v>
      </c>
      <c r="P34" s="18" t="str">
        <f>VLOOKUP($C34,[3]Sheet1!$A$2:$L$209,12,0)</f>
        <v>PMIC마케팅파트</v>
      </c>
      <c r="Q34" s="18" t="str">
        <f>VLOOKUP($C34,[3]Sheet1!$A$2:$L$209,2,0)</f>
        <v>조영아</v>
      </c>
      <c r="R34" s="18" t="str">
        <f>VLOOKUP($C34,[3]Sheet1!$A$2:$L$209,11,0)</f>
        <v>기술사무</v>
      </c>
    </row>
    <row r="35" spans="1:18" x14ac:dyDescent="0.3">
      <c r="A35" s="4" t="s">
        <v>480</v>
      </c>
      <c r="B35" s="4" t="s">
        <v>570</v>
      </c>
      <c r="C35" s="5" t="s">
        <v>571</v>
      </c>
      <c r="D35" s="6" t="str">
        <f t="shared" si="0"/>
        <v>LEE/SEUNGYONG</v>
      </c>
      <c r="E35" s="6" t="str">
        <f>VLOOKUP(C35,'[1]사번,소속,이름'!$A$1:$C$159,3,)</f>
        <v>이승용</v>
      </c>
      <c r="F35" s="5" t="s">
        <v>33</v>
      </c>
      <c r="H35" s="18" t="s">
        <v>535</v>
      </c>
      <c r="L35" s="18" t="str">
        <f>VLOOKUP($C35,[2]Sheet1!$A$2:$L$208,12,0)</f>
        <v>Logic파트(1팀)</v>
      </c>
      <c r="M35" s="18" t="str">
        <f>VLOOKUP($C35,[2]Sheet1!$A$2:$L$208,2,0)</f>
        <v>이승용</v>
      </c>
      <c r="N35" s="18" t="str">
        <f>VLOOKUP($C35,[2]Sheet1!$A$2:$L$208,11,0)</f>
        <v>기술사무</v>
      </c>
      <c r="P35" s="18" t="str">
        <f>VLOOKUP($C35,[3]Sheet1!$A$2:$L$209,12,0)</f>
        <v>제품개발1파트</v>
      </c>
      <c r="Q35" s="18" t="str">
        <f>VLOOKUP($C35,[3]Sheet1!$A$2:$L$209,2,0)</f>
        <v>이승용</v>
      </c>
      <c r="R35" s="18" t="str">
        <f>VLOOKUP($C35,[3]Sheet1!$A$2:$L$209,11,0)</f>
        <v>기술사무</v>
      </c>
    </row>
    <row r="36" spans="1:18" x14ac:dyDescent="0.3">
      <c r="A36" s="4" t="s">
        <v>572</v>
      </c>
      <c r="B36" s="4" t="s">
        <v>573</v>
      </c>
      <c r="C36" s="5" t="s">
        <v>574</v>
      </c>
      <c r="D36" s="6" t="str">
        <f t="shared" si="0"/>
        <v>JEONG/YEON HO</v>
      </c>
      <c r="E36" s="6" t="str">
        <f>VLOOKUP(C36,'[1]사번,소속,이름'!$A$1:$C$159,3,)</f>
        <v>정연호</v>
      </c>
      <c r="F36" s="5" t="s">
        <v>33</v>
      </c>
      <c r="H36" s="18" t="s">
        <v>535</v>
      </c>
      <c r="L36" s="18" t="str">
        <f>VLOOKUP($C36,[2]Sheet1!$A$2:$L$208,12,0)</f>
        <v>Logic파트(1팀)</v>
      </c>
      <c r="M36" s="18" t="str">
        <f>VLOOKUP($C36,[2]Sheet1!$A$2:$L$208,2,0)</f>
        <v>정연호</v>
      </c>
      <c r="N36" s="18" t="str">
        <f>VLOOKUP($C36,[2]Sheet1!$A$2:$L$208,11,0)</f>
        <v>기술사무</v>
      </c>
      <c r="P36" s="18" t="str">
        <f>VLOOKUP($C36,[3]Sheet1!$A$2:$L$209,12,0)</f>
        <v>제품개발1파트</v>
      </c>
      <c r="Q36" s="18" t="str">
        <f>VLOOKUP($C36,[3]Sheet1!$A$2:$L$209,2,0)</f>
        <v>정연호</v>
      </c>
      <c r="R36" s="18" t="str">
        <f>VLOOKUP($C36,[3]Sheet1!$A$2:$L$209,11,0)</f>
        <v>기술사무</v>
      </c>
    </row>
    <row r="37" spans="1:18" x14ac:dyDescent="0.3">
      <c r="A37" s="4" t="s">
        <v>575</v>
      </c>
      <c r="B37" s="4" t="s">
        <v>576</v>
      </c>
      <c r="C37" s="5" t="s">
        <v>577</v>
      </c>
      <c r="D37" s="6" t="str">
        <f t="shared" si="0"/>
        <v>HEO/YEJIN</v>
      </c>
      <c r="E37" s="6" t="str">
        <f>VLOOKUP(C37,'[1]사번,소속,이름'!$A$1:$C$159,3,)</f>
        <v>허예진</v>
      </c>
      <c r="F37" s="5" t="s">
        <v>578</v>
      </c>
      <c r="H37" s="18" t="s">
        <v>578</v>
      </c>
      <c r="L37" s="18" t="str">
        <f>VLOOKUP($C37,[2]Sheet1!$A$2:$L$208,12,0)</f>
        <v>피플팀</v>
      </c>
      <c r="M37" s="18" t="str">
        <f>VLOOKUP($C37,[2]Sheet1!$A$2:$L$208,2,0)</f>
        <v>허예진</v>
      </c>
      <c r="N37" s="18" t="str">
        <f>VLOOKUP($C37,[2]Sheet1!$A$2:$L$208,11,0)</f>
        <v>기술사무</v>
      </c>
      <c r="P37" s="18" t="str">
        <f>VLOOKUP($C37,[3]Sheet1!$A$2:$L$209,12,0)</f>
        <v>피플팀</v>
      </c>
      <c r="Q37" s="18" t="str">
        <f>VLOOKUP($C37,[3]Sheet1!$A$2:$L$209,2,0)</f>
        <v>허예진</v>
      </c>
      <c r="R37" s="18" t="str">
        <f>VLOOKUP($C37,[3]Sheet1!$A$2:$L$209,11,0)</f>
        <v>기술사무</v>
      </c>
    </row>
    <row r="38" spans="1:18" x14ac:dyDescent="0.3">
      <c r="A38" s="4" t="s">
        <v>497</v>
      </c>
      <c r="B38" s="4" t="s">
        <v>579</v>
      </c>
      <c r="C38" s="5" t="s">
        <v>580</v>
      </c>
      <c r="D38" s="6" t="str">
        <f t="shared" si="0"/>
        <v>PARK/DO WOO</v>
      </c>
      <c r="E38" s="6" t="str">
        <f>VLOOKUP(C38,'[1]사번,소속,이름'!$A$1:$C$159,3,)</f>
        <v>박도우</v>
      </c>
      <c r="F38" s="5" t="s">
        <v>43</v>
      </c>
      <c r="H38" s="18" t="s">
        <v>535</v>
      </c>
      <c r="L38" s="18" t="str">
        <f>VLOOKUP($C38,[2]Sheet1!$A$2:$L$208,12,0)</f>
        <v>Interface파트(1팀)</v>
      </c>
      <c r="M38" s="18" t="str">
        <f>VLOOKUP($C38,[2]Sheet1!$A$2:$L$208,2,0)</f>
        <v>박도우</v>
      </c>
      <c r="N38" s="18" t="str">
        <f>VLOOKUP($C38,[2]Sheet1!$A$2:$L$208,11,0)</f>
        <v>기술사무</v>
      </c>
      <c r="P38" s="18" t="str">
        <f>VLOOKUP($C38,[3]Sheet1!$A$2:$L$209,12,0)</f>
        <v>Interface파트</v>
      </c>
      <c r="Q38" s="18" t="str">
        <f>VLOOKUP($C38,[3]Sheet1!$A$2:$L$209,2,0)</f>
        <v>박도우</v>
      </c>
      <c r="R38" s="18" t="str">
        <f>VLOOKUP($C38,[3]Sheet1!$A$2:$L$209,11,0)</f>
        <v>기술사무</v>
      </c>
    </row>
    <row r="39" spans="1:18" x14ac:dyDescent="0.3">
      <c r="A39" s="4" t="s">
        <v>581</v>
      </c>
      <c r="B39" s="4" t="s">
        <v>582</v>
      </c>
      <c r="C39" s="5" t="s">
        <v>583</v>
      </c>
      <c r="D39" s="6" t="str">
        <f t="shared" si="0"/>
        <v>SON/SUNKYU</v>
      </c>
      <c r="E39" s="6" t="str">
        <f>VLOOKUP(C39,'[1]사번,소속,이름'!$A$1:$C$159,3,)</f>
        <v>손선규</v>
      </c>
      <c r="F39" s="5" t="s">
        <v>23</v>
      </c>
      <c r="H39" s="18" t="s">
        <v>23</v>
      </c>
      <c r="L39" s="18" t="str">
        <f>VLOOKUP($C39,[2]Sheet1!$A$2:$L$208,12,0)</f>
        <v>제품기술팀</v>
      </c>
      <c r="M39" s="18" t="str">
        <f>VLOOKUP($C39,[2]Sheet1!$A$2:$L$208,2,0)</f>
        <v>손선규</v>
      </c>
      <c r="N39" s="18" t="str">
        <f>VLOOKUP($C39,[2]Sheet1!$A$2:$L$208,11,0)</f>
        <v>기술사무</v>
      </c>
      <c r="P39" s="18" t="str">
        <f>VLOOKUP($C39,[3]Sheet1!$A$2:$L$209,12,0)</f>
        <v>제품기술팀</v>
      </c>
      <c r="Q39" s="18" t="str">
        <f>VLOOKUP($C39,[3]Sheet1!$A$2:$L$209,2,0)</f>
        <v>손선규</v>
      </c>
      <c r="R39" s="18" t="str">
        <f>VLOOKUP($C39,[3]Sheet1!$A$2:$L$209,11,0)</f>
        <v>기술사무</v>
      </c>
    </row>
    <row r="40" spans="1:18" x14ac:dyDescent="0.3">
      <c r="A40" s="4" t="s">
        <v>584</v>
      </c>
      <c r="B40" s="4" t="s">
        <v>585</v>
      </c>
      <c r="C40" s="5" t="s">
        <v>586</v>
      </c>
      <c r="D40" s="6" t="str">
        <f t="shared" si="0"/>
        <v>YOO/SANG MIN</v>
      </c>
      <c r="E40" s="6" t="str">
        <f>VLOOKUP(C40,'[1]사번,소속,이름'!$A$1:$C$159,3,)</f>
        <v>유상민</v>
      </c>
      <c r="F40" s="5" t="s">
        <v>23</v>
      </c>
      <c r="H40" s="18" t="s">
        <v>23</v>
      </c>
      <c r="L40" s="18" t="str">
        <f>VLOOKUP($C40,[2]Sheet1!$A$2:$L$208,12,0)</f>
        <v>제품기술팀</v>
      </c>
      <c r="M40" s="18" t="str">
        <f>VLOOKUP($C40,[2]Sheet1!$A$2:$L$208,2,0)</f>
        <v>유상민</v>
      </c>
      <c r="N40" s="18" t="str">
        <f>VLOOKUP($C40,[2]Sheet1!$A$2:$L$208,11,0)</f>
        <v>기술사무</v>
      </c>
      <c r="P40" s="18" t="str">
        <f>VLOOKUP($C40,[3]Sheet1!$A$2:$L$209,12,0)</f>
        <v>제품기술팀</v>
      </c>
      <c r="Q40" s="18" t="str">
        <f>VLOOKUP($C40,[3]Sheet1!$A$2:$L$209,2,0)</f>
        <v>유상민</v>
      </c>
      <c r="R40" s="18" t="str">
        <f>VLOOKUP($C40,[3]Sheet1!$A$2:$L$209,11,0)</f>
        <v>기술사무</v>
      </c>
    </row>
    <row r="41" spans="1:18" x14ac:dyDescent="0.3">
      <c r="A41" s="4" t="s">
        <v>480</v>
      </c>
      <c r="B41" s="4" t="s">
        <v>587</v>
      </c>
      <c r="C41" s="5" t="s">
        <v>588</v>
      </c>
      <c r="D41" s="6" t="str">
        <f t="shared" si="0"/>
        <v>LEE/SUN HEE</v>
      </c>
      <c r="E41" s="6" t="str">
        <f>VLOOKUP(C41,'[1]사번,소속,이름'!$A$1:$C$159,3,)</f>
        <v>이선희</v>
      </c>
      <c r="F41" s="5" t="s">
        <v>13</v>
      </c>
      <c r="H41" s="18" t="s">
        <v>13</v>
      </c>
      <c r="L41" s="18" t="str">
        <f>VLOOKUP($C41,[2]Sheet1!$A$2:$L$208,12,0)</f>
        <v>SCM담당</v>
      </c>
      <c r="M41" s="18" t="str">
        <f>VLOOKUP($C41,[2]Sheet1!$A$2:$L$208,2,0)</f>
        <v>이선희</v>
      </c>
      <c r="N41" s="18" t="str">
        <f>VLOOKUP($C41,[2]Sheet1!$A$2:$L$208,11,0)</f>
        <v>기술사무</v>
      </c>
      <c r="P41" s="18" t="str">
        <f>VLOOKUP($C41,[3]Sheet1!$A$2:$L$209,12,0)</f>
        <v>SCM담당</v>
      </c>
      <c r="Q41" s="18" t="str">
        <f>VLOOKUP($C41,[3]Sheet1!$A$2:$L$209,2,0)</f>
        <v>이선희</v>
      </c>
      <c r="R41" s="18" t="str">
        <f>VLOOKUP($C41,[3]Sheet1!$A$2:$L$209,11,0)</f>
        <v>기술사무</v>
      </c>
    </row>
    <row r="42" spans="1:18" x14ac:dyDescent="0.3">
      <c r="A42" s="4" t="s">
        <v>521</v>
      </c>
      <c r="B42" s="4" t="s">
        <v>589</v>
      </c>
      <c r="C42" s="5" t="s">
        <v>590</v>
      </c>
      <c r="D42" s="6" t="str">
        <f t="shared" si="0"/>
        <v>KIM/DO YEON</v>
      </c>
      <c r="E42" s="6" t="str">
        <f>VLOOKUP(C42,'[1]사번,소속,이름'!$A$1:$C$159,3,)</f>
        <v>김도연</v>
      </c>
      <c r="F42" s="5" t="s">
        <v>43</v>
      </c>
      <c r="H42" s="18" t="s">
        <v>535</v>
      </c>
      <c r="L42" s="18" t="str">
        <f>VLOOKUP($C42,[2]Sheet1!$A$2:$L$208,12,0)</f>
        <v>Interface파트(1팀)</v>
      </c>
      <c r="M42" s="18" t="str">
        <f>VLOOKUP($C42,[2]Sheet1!$A$2:$L$208,2,0)</f>
        <v>김도연</v>
      </c>
      <c r="N42" s="18" t="str">
        <f>VLOOKUP($C42,[2]Sheet1!$A$2:$L$208,11,0)</f>
        <v>기술사무</v>
      </c>
      <c r="P42" s="18" t="str">
        <f>VLOOKUP($C42,[3]Sheet1!$A$2:$L$209,12,0)</f>
        <v>Interface파트</v>
      </c>
      <c r="Q42" s="18" t="str">
        <f>VLOOKUP($C42,[3]Sheet1!$A$2:$L$209,2,0)</f>
        <v>김도연</v>
      </c>
      <c r="R42" s="18" t="str">
        <f>VLOOKUP($C42,[3]Sheet1!$A$2:$L$209,11,0)</f>
        <v>기술사무</v>
      </c>
    </row>
    <row r="43" spans="1:18" x14ac:dyDescent="0.3">
      <c r="A43" s="4" t="s">
        <v>480</v>
      </c>
      <c r="B43" s="4" t="s">
        <v>591</v>
      </c>
      <c r="C43" s="5" t="s">
        <v>592</v>
      </c>
      <c r="D43" s="6" t="str">
        <f t="shared" si="0"/>
        <v>LEE/JEONG SU</v>
      </c>
      <c r="E43" s="6" t="str">
        <f>VLOOKUP(C43,'[1]사번,소속,이름'!$A$1:$C$159,3,)</f>
        <v>이정수</v>
      </c>
      <c r="F43" s="5" t="s">
        <v>593</v>
      </c>
      <c r="H43" s="18" t="s">
        <v>593</v>
      </c>
      <c r="L43" s="18" t="str">
        <f>VLOOKUP($C43,[2]Sheet1!$A$2:$L$208,12,0)</f>
        <v>Layout팀</v>
      </c>
      <c r="M43" s="18" t="str">
        <f>VLOOKUP($C43,[2]Sheet1!$A$2:$L$208,2,0)</f>
        <v>이정수</v>
      </c>
      <c r="N43" s="18" t="str">
        <f>VLOOKUP($C43,[2]Sheet1!$A$2:$L$208,11,0)</f>
        <v>기술사무</v>
      </c>
      <c r="P43" s="18" t="str">
        <f>VLOOKUP($C43,[3]Sheet1!$A$2:$L$209,12,0)</f>
        <v>Layout팀</v>
      </c>
      <c r="Q43" s="18" t="str">
        <f>VLOOKUP($C43,[3]Sheet1!$A$2:$L$209,2,0)</f>
        <v>이정수</v>
      </c>
      <c r="R43" s="18" t="str">
        <f>VLOOKUP($C43,[3]Sheet1!$A$2:$L$209,11,0)</f>
        <v>기술사무</v>
      </c>
    </row>
    <row r="44" spans="1:18" x14ac:dyDescent="0.3">
      <c r="A44" s="4" t="s">
        <v>594</v>
      </c>
      <c r="B44" s="4" t="s">
        <v>595</v>
      </c>
      <c r="C44" s="5" t="s">
        <v>596</v>
      </c>
      <c r="D44" s="6" t="str">
        <f t="shared" si="0"/>
        <v>KO/JAEHONG</v>
      </c>
      <c r="E44" s="6" t="str">
        <f>VLOOKUP(C44,'[1]사번,소속,이름'!$A$1:$C$159,3,)</f>
        <v>고재홍</v>
      </c>
      <c r="F44" s="5" t="s">
        <v>29</v>
      </c>
      <c r="H44" s="18" t="s">
        <v>29</v>
      </c>
      <c r="L44" s="18" t="str">
        <f>VLOOKUP($C44,[2]Sheet1!$A$2:$L$208,12,0)</f>
        <v>DDI개발담당</v>
      </c>
      <c r="M44" s="18" t="str">
        <f>VLOOKUP($C44,[2]Sheet1!$A$2:$L$208,2,0)</f>
        <v>고재홍</v>
      </c>
      <c r="N44" s="18" t="str">
        <f>VLOOKUP($C44,[2]Sheet1!$A$2:$L$208,11,0)</f>
        <v>임원</v>
      </c>
      <c r="P44" s="18" t="str">
        <f>VLOOKUP($C44,[3]Sheet1!$A$2:$L$209,12,0)</f>
        <v>DDI개발담당</v>
      </c>
      <c r="Q44" s="18" t="str">
        <f>VLOOKUP($C44,[3]Sheet1!$A$2:$L$209,2,0)</f>
        <v>고재홍</v>
      </c>
      <c r="R44" s="18" t="str">
        <f>VLOOKUP($C44,[3]Sheet1!$A$2:$L$209,11,0)</f>
        <v>임원</v>
      </c>
    </row>
    <row r="45" spans="1:18" x14ac:dyDescent="0.3">
      <c r="A45" s="4" t="s">
        <v>567</v>
      </c>
      <c r="B45" s="4" t="s">
        <v>597</v>
      </c>
      <c r="C45" s="5" t="s">
        <v>598</v>
      </c>
      <c r="D45" s="6" t="str">
        <f t="shared" si="0"/>
        <v>CHO/YONGTAK</v>
      </c>
      <c r="E45" s="6" t="str">
        <f>VLOOKUP(C45,'[1]사번,소속,이름'!$A$1:$C$159,3,)</f>
        <v>조용탁</v>
      </c>
      <c r="F45" s="5" t="s">
        <v>17</v>
      </c>
      <c r="H45" s="18" t="s">
        <v>17</v>
      </c>
      <c r="L45" s="18" t="str">
        <f>VLOOKUP($C45,[2]Sheet1!$A$2:$L$208,12,0)</f>
        <v>전략구매파트</v>
      </c>
      <c r="M45" s="18" t="str">
        <f>VLOOKUP($C45,[2]Sheet1!$A$2:$L$208,2,0)</f>
        <v>조용탁</v>
      </c>
      <c r="N45" s="18" t="str">
        <f>VLOOKUP($C45,[2]Sheet1!$A$2:$L$208,11,0)</f>
        <v>기술사무</v>
      </c>
      <c r="P45" s="18" t="str">
        <f>VLOOKUP($C45,[3]Sheet1!$A$2:$L$209,12,0)</f>
        <v>전략구매파트</v>
      </c>
      <c r="Q45" s="18" t="str">
        <f>VLOOKUP($C45,[3]Sheet1!$A$2:$L$209,2,0)</f>
        <v>조용탁</v>
      </c>
      <c r="R45" s="18" t="str">
        <f>VLOOKUP($C45,[3]Sheet1!$A$2:$L$209,11,0)</f>
        <v>기술사무</v>
      </c>
    </row>
    <row r="46" spans="1:18" x14ac:dyDescent="0.3">
      <c r="A46" s="4" t="s">
        <v>567</v>
      </c>
      <c r="B46" s="4" t="s">
        <v>599</v>
      </c>
      <c r="C46" s="5" t="s">
        <v>600</v>
      </c>
      <c r="D46" s="6" t="str">
        <f t="shared" si="0"/>
        <v>CHO/JU HYUN</v>
      </c>
      <c r="E46" s="6" t="str">
        <f>VLOOKUP(C46,'[1]사번,소속,이름'!$A$1:$C$159,3,)</f>
        <v>조주현</v>
      </c>
      <c r="F46" s="5" t="s">
        <v>23</v>
      </c>
      <c r="H46" s="18" t="s">
        <v>23</v>
      </c>
      <c r="L46" s="18" t="str">
        <f>VLOOKUP($C46,[2]Sheet1!$A$2:$L$208,12,0)</f>
        <v>제품기술팀</v>
      </c>
      <c r="M46" s="18" t="str">
        <f>VLOOKUP($C46,[2]Sheet1!$A$2:$L$208,2,0)</f>
        <v>조주현</v>
      </c>
      <c r="N46" s="18" t="str">
        <f>VLOOKUP($C46,[2]Sheet1!$A$2:$L$208,11,0)</f>
        <v>기술사무</v>
      </c>
      <c r="P46" s="18" t="str">
        <f>VLOOKUP($C46,[3]Sheet1!$A$2:$L$209,12,0)</f>
        <v>제품기술팀</v>
      </c>
      <c r="Q46" s="18" t="str">
        <f>VLOOKUP($C46,[3]Sheet1!$A$2:$L$209,2,0)</f>
        <v>조주현</v>
      </c>
      <c r="R46" s="18" t="str">
        <f>VLOOKUP($C46,[3]Sheet1!$A$2:$L$209,11,0)</f>
        <v>기술사무</v>
      </c>
    </row>
    <row r="47" spans="1:18" x14ac:dyDescent="0.3">
      <c r="A47" s="4" t="s">
        <v>497</v>
      </c>
      <c r="B47" s="4" t="s">
        <v>601</v>
      </c>
      <c r="C47" s="5" t="s">
        <v>602</v>
      </c>
      <c r="D47" s="6" t="str">
        <f t="shared" si="0"/>
        <v>PARK/SANG HYUN</v>
      </c>
      <c r="E47" s="6" t="str">
        <f>VLOOKUP(C47,'[1]사번,소속,이름'!$A$1:$C$159,3,)</f>
        <v>박상현</v>
      </c>
      <c r="F47" s="5" t="s">
        <v>34</v>
      </c>
      <c r="H47" s="18" t="s">
        <v>540</v>
      </c>
      <c r="L47" s="18" t="str">
        <f>VLOOKUP($C47,[2]Sheet1!$A$2:$L$208,12,0)</f>
        <v>Analog파트(2팀)</v>
      </c>
      <c r="M47" s="18" t="str">
        <f>VLOOKUP($C47,[2]Sheet1!$A$2:$L$208,2,0)</f>
        <v>박상현</v>
      </c>
      <c r="N47" s="18" t="str">
        <f>VLOOKUP($C47,[2]Sheet1!$A$2:$L$208,11,0)</f>
        <v>기술사무</v>
      </c>
      <c r="P47" s="18" t="str">
        <f>VLOOKUP($C47,[3]Sheet1!$A$2:$L$209,12,0)</f>
        <v>제품개발2파트</v>
      </c>
      <c r="Q47" s="18" t="str">
        <f>VLOOKUP($C47,[3]Sheet1!$A$2:$L$209,2,0)</f>
        <v>박상현</v>
      </c>
      <c r="R47" s="18" t="str">
        <f>VLOOKUP($C47,[3]Sheet1!$A$2:$L$209,11,0)</f>
        <v>기술사무</v>
      </c>
    </row>
    <row r="48" spans="1:18" x14ac:dyDescent="0.3">
      <c r="A48" s="4" t="s">
        <v>521</v>
      </c>
      <c r="B48" s="4" t="s">
        <v>603</v>
      </c>
      <c r="C48" s="5" t="s">
        <v>604</v>
      </c>
      <c r="D48" s="6" t="str">
        <f t="shared" si="0"/>
        <v>KIM/SUNG WOOK</v>
      </c>
      <c r="E48" s="6" t="str">
        <f>VLOOKUP(C48,'[1]사번,소속,이름'!$A$1:$C$159,3,)</f>
        <v>김성욱</v>
      </c>
      <c r="F48" s="5" t="s">
        <v>23</v>
      </c>
      <c r="H48" s="18" t="s">
        <v>23</v>
      </c>
      <c r="L48" s="18" t="str">
        <f>VLOOKUP($C48,[2]Sheet1!$A$2:$L$208,12,0)</f>
        <v>제품기술팀</v>
      </c>
      <c r="M48" s="18" t="str">
        <f>VLOOKUP($C48,[2]Sheet1!$A$2:$L$208,2,0)</f>
        <v>김성욱</v>
      </c>
      <c r="N48" s="18" t="str">
        <f>VLOOKUP($C48,[2]Sheet1!$A$2:$L$208,11,0)</f>
        <v>기술사무</v>
      </c>
      <c r="P48" s="18" t="str">
        <f>VLOOKUP($C48,[3]Sheet1!$A$2:$L$209,12,0)</f>
        <v>제품기술팀</v>
      </c>
      <c r="Q48" s="18" t="str">
        <f>VLOOKUP($C48,[3]Sheet1!$A$2:$L$209,2,0)</f>
        <v>김성욱</v>
      </c>
      <c r="R48" s="18" t="str">
        <f>VLOOKUP($C48,[3]Sheet1!$A$2:$L$209,11,0)</f>
        <v>기술사무</v>
      </c>
    </row>
    <row r="49" spans="1:18" x14ac:dyDescent="0.3">
      <c r="A49" s="4" t="s">
        <v>480</v>
      </c>
      <c r="B49" s="4" t="s">
        <v>605</v>
      </c>
      <c r="C49" s="5" t="s">
        <v>606</v>
      </c>
      <c r="D49" s="6" t="str">
        <f t="shared" si="0"/>
        <v>LEE/DONG GI</v>
      </c>
      <c r="E49" s="6" t="str">
        <f>VLOOKUP(C49,'[1]사번,소속,이름'!$A$1:$C$159,3,)</f>
        <v>이동기</v>
      </c>
      <c r="F49" s="5" t="s">
        <v>607</v>
      </c>
      <c r="H49" s="18" t="s">
        <v>50</v>
      </c>
      <c r="L49" s="18" t="str">
        <f>VLOOKUP($C49,[2]Sheet1!$A$2:$L$208,12,0)</f>
        <v>1파트</v>
      </c>
      <c r="M49" s="18" t="str">
        <f>VLOOKUP($C49,[2]Sheet1!$A$2:$L$208,2,0)</f>
        <v>이동기</v>
      </c>
      <c r="N49" s="18" t="str">
        <f>VLOOKUP($C49,[2]Sheet1!$A$2:$L$208,11,0)</f>
        <v>기술사무</v>
      </c>
      <c r="P49" s="18" t="str">
        <f>VLOOKUP($C49,[3]Sheet1!$A$2:$L$209,12,0)</f>
        <v>1파트</v>
      </c>
      <c r="Q49" s="18" t="str">
        <f>VLOOKUP($C49,[3]Sheet1!$A$2:$L$209,2,0)</f>
        <v>이동기</v>
      </c>
      <c r="R49" s="18" t="str">
        <f>VLOOKUP($C49,[3]Sheet1!$A$2:$L$209,11,0)</f>
        <v>기술사무</v>
      </c>
    </row>
    <row r="50" spans="1:18" x14ac:dyDescent="0.3">
      <c r="A50" s="4" t="s">
        <v>505</v>
      </c>
      <c r="B50" s="4" t="s">
        <v>608</v>
      </c>
      <c r="C50" s="5" t="s">
        <v>609</v>
      </c>
      <c r="D50" s="6" t="str">
        <f t="shared" si="0"/>
        <v>KWON/JAE HAK</v>
      </c>
      <c r="E50" s="6" t="str">
        <f>VLOOKUP(C50,'[1]사번,소속,이름'!$A$1:$C$159,3,)</f>
        <v>권재학</v>
      </c>
      <c r="F50" s="5" t="s">
        <v>21</v>
      </c>
      <c r="H50" s="18" t="s">
        <v>21</v>
      </c>
      <c r="L50" s="18" t="str">
        <f>VLOOKUP($C50,[2]Sheet1!$A$2:$L$208,12,0)</f>
        <v>품질팀</v>
      </c>
      <c r="M50" s="18" t="str">
        <f>VLOOKUP($C50,[2]Sheet1!$A$2:$L$208,2,0)</f>
        <v>권재학</v>
      </c>
      <c r="N50" s="18" t="str">
        <f>VLOOKUP($C50,[2]Sheet1!$A$2:$L$208,11,0)</f>
        <v>기술사무</v>
      </c>
      <c r="P50" s="18" t="str">
        <f>VLOOKUP($C50,[3]Sheet1!$A$2:$L$209,12,0)</f>
        <v>품질팀</v>
      </c>
      <c r="Q50" s="18" t="str">
        <f>VLOOKUP($C50,[3]Sheet1!$A$2:$L$209,2,0)</f>
        <v>권재학</v>
      </c>
      <c r="R50" s="18" t="str">
        <f>VLOOKUP($C50,[3]Sheet1!$A$2:$L$209,11,0)</f>
        <v>기술사무</v>
      </c>
    </row>
    <row r="51" spans="1:18" x14ac:dyDescent="0.3">
      <c r="A51" s="4" t="s">
        <v>480</v>
      </c>
      <c r="B51" s="4" t="s">
        <v>610</v>
      </c>
      <c r="C51" s="5" t="s">
        <v>611</v>
      </c>
      <c r="D51" s="6" t="str">
        <f t="shared" si="0"/>
        <v>LEE/JONG RAE</v>
      </c>
      <c r="E51" s="6" t="str">
        <f>VLOOKUP(C51,'[1]사번,소속,이름'!$A$1:$C$159,3,)</f>
        <v>이종래</v>
      </c>
      <c r="F51" s="5" t="s">
        <v>27</v>
      </c>
      <c r="H51" s="18" t="s">
        <v>27</v>
      </c>
      <c r="L51" s="18" t="str">
        <f>VLOOKUP($C51,[2]Sheet1!$A$2:$L$208,12,0)</f>
        <v>PKG파트</v>
      </c>
      <c r="M51" s="18" t="str">
        <f>VLOOKUP($C51,[2]Sheet1!$A$2:$L$208,2,0)</f>
        <v>이종래</v>
      </c>
      <c r="N51" s="18" t="str">
        <f>VLOOKUP($C51,[2]Sheet1!$A$2:$L$208,11,0)</f>
        <v>기술사무</v>
      </c>
      <c r="P51" s="18" t="str">
        <f>VLOOKUP($C51,[3]Sheet1!$A$2:$L$209,12,0)</f>
        <v>PKG파트</v>
      </c>
      <c r="Q51" s="18" t="str">
        <f>VLOOKUP($C51,[3]Sheet1!$A$2:$L$209,2,0)</f>
        <v>이종래</v>
      </c>
      <c r="R51" s="18" t="str">
        <f>VLOOKUP($C51,[3]Sheet1!$A$2:$L$209,11,0)</f>
        <v>기술사무</v>
      </c>
    </row>
    <row r="52" spans="1:18" x14ac:dyDescent="0.3">
      <c r="A52" s="4" t="s">
        <v>497</v>
      </c>
      <c r="B52" s="4" t="s">
        <v>612</v>
      </c>
      <c r="C52" s="5" t="s">
        <v>613</v>
      </c>
      <c r="D52" s="6" t="str">
        <f t="shared" si="0"/>
        <v>PARK/SUNG HYUN</v>
      </c>
      <c r="E52" s="6" t="str">
        <f>VLOOKUP(C52,'[1]사번,소속,이름'!$A$1:$C$159,3,)</f>
        <v>박성현</v>
      </c>
      <c r="F52" s="5" t="s">
        <v>23</v>
      </c>
      <c r="H52" s="18" t="s">
        <v>23</v>
      </c>
      <c r="L52" s="18" t="str">
        <f>VLOOKUP($C52,[2]Sheet1!$A$2:$L$208,12,0)</f>
        <v>제품기술팀</v>
      </c>
      <c r="M52" s="18" t="str">
        <f>VLOOKUP($C52,[2]Sheet1!$A$2:$L$208,2,0)</f>
        <v>박성현</v>
      </c>
      <c r="N52" s="18" t="str">
        <f>VLOOKUP($C52,[2]Sheet1!$A$2:$L$208,11,0)</f>
        <v>기술사무</v>
      </c>
      <c r="P52" s="18" t="str">
        <f>VLOOKUP($C52,[3]Sheet1!$A$2:$L$209,12,0)</f>
        <v>제품기술팀</v>
      </c>
      <c r="Q52" s="18" t="str">
        <f>VLOOKUP($C52,[3]Sheet1!$A$2:$L$209,2,0)</f>
        <v>박성현</v>
      </c>
      <c r="R52" s="18" t="str">
        <f>VLOOKUP($C52,[3]Sheet1!$A$2:$L$209,11,0)</f>
        <v>기술사무</v>
      </c>
    </row>
    <row r="53" spans="1:18" x14ac:dyDescent="0.3">
      <c r="A53" s="4" t="s">
        <v>614</v>
      </c>
      <c r="B53" s="4" t="s">
        <v>615</v>
      </c>
      <c r="C53" s="5" t="s">
        <v>616</v>
      </c>
      <c r="D53" s="6" t="str">
        <f t="shared" si="0"/>
        <v>SONG/SI YEON</v>
      </c>
      <c r="E53" s="6" t="str">
        <f>VLOOKUP(C53,'[1]사번,소속,이름'!$A$1:$C$159,3,)</f>
        <v>송시연</v>
      </c>
      <c r="F53" s="5" t="s">
        <v>593</v>
      </c>
      <c r="H53" s="18" t="s">
        <v>593</v>
      </c>
      <c r="L53" s="18" t="str">
        <f>VLOOKUP($C53,[2]Sheet1!$A$2:$L$208,12,0)</f>
        <v>Layout팀</v>
      </c>
      <c r="M53" s="18" t="str">
        <f>VLOOKUP($C53,[2]Sheet1!$A$2:$L$208,2,0)</f>
        <v>송시연</v>
      </c>
      <c r="N53" s="18" t="str">
        <f>VLOOKUP($C53,[2]Sheet1!$A$2:$L$208,11,0)</f>
        <v>기술사무</v>
      </c>
      <c r="P53" s="18" t="str">
        <f>VLOOKUP($C53,[3]Sheet1!$A$2:$L$209,12,0)</f>
        <v>Layout팀</v>
      </c>
      <c r="Q53" s="18" t="str">
        <f>VLOOKUP($C53,[3]Sheet1!$A$2:$L$209,2,0)</f>
        <v>송시연</v>
      </c>
      <c r="R53" s="18" t="str">
        <f>VLOOKUP($C53,[3]Sheet1!$A$2:$L$209,11,0)</f>
        <v>기술사무</v>
      </c>
    </row>
    <row r="54" spans="1:18" x14ac:dyDescent="0.3">
      <c r="A54" s="4" t="s">
        <v>617</v>
      </c>
      <c r="B54" s="4" t="s">
        <v>618</v>
      </c>
      <c r="C54" s="5" t="s">
        <v>619</v>
      </c>
      <c r="D54" s="6" t="str">
        <f t="shared" si="0"/>
        <v>HWANG/CHAN GYU</v>
      </c>
      <c r="E54" s="6" t="str">
        <f>VLOOKUP(C54,'[1]사번,소속,이름'!$A$1:$C$159,3,)</f>
        <v>황찬규</v>
      </c>
      <c r="F54" s="5" t="e">
        <v>#N/A</v>
      </c>
      <c r="H54" s="18" t="s">
        <v>593</v>
      </c>
      <c r="L54" s="18" t="str">
        <f>VLOOKUP($C54,[2]Sheet1!$A$2:$L$208,12,0)</f>
        <v>Layout팀</v>
      </c>
      <c r="M54" s="18" t="str">
        <f>VLOOKUP($C54,[2]Sheet1!$A$2:$L$208,2,0)</f>
        <v>황찬규</v>
      </c>
      <c r="N54" s="18" t="str">
        <f>VLOOKUP($C54,[2]Sheet1!$A$2:$L$208,11,0)</f>
        <v>기술사무</v>
      </c>
      <c r="P54" s="18" t="e">
        <f>VLOOKUP($C54,[3]Sheet1!$A$2:$L$209,12,0)</f>
        <v>#N/A</v>
      </c>
      <c r="Q54" s="18" t="e">
        <f>VLOOKUP($C54,[3]Sheet1!$A$2:$L$209,2,0)</f>
        <v>#N/A</v>
      </c>
      <c r="R54" s="18" t="e">
        <f>VLOOKUP($C54,[3]Sheet1!$A$2:$L$209,11,0)</f>
        <v>#N/A</v>
      </c>
    </row>
    <row r="55" spans="1:18" x14ac:dyDescent="0.3">
      <c r="A55" s="4" t="s">
        <v>493</v>
      </c>
      <c r="B55" s="4" t="s">
        <v>620</v>
      </c>
      <c r="C55" s="5" t="s">
        <v>621</v>
      </c>
      <c r="D55" s="6" t="str">
        <f t="shared" si="0"/>
        <v>CHOI/SU IM</v>
      </c>
      <c r="E55" s="6" t="str">
        <f>VLOOKUP(C55,'[1]사번,소속,이름'!$A$1:$C$159,3,)</f>
        <v>최수임</v>
      </c>
      <c r="F55" s="5" t="s">
        <v>9</v>
      </c>
      <c r="H55" s="18" t="s">
        <v>9</v>
      </c>
      <c r="L55" s="18" t="str">
        <f>VLOOKUP($C55,[2]Sheet1!$A$2:$L$208,12,0)</f>
        <v>영업팀</v>
      </c>
      <c r="M55" s="18" t="str">
        <f>VLOOKUP($C55,[2]Sheet1!$A$2:$L$208,2,0)</f>
        <v>최수임</v>
      </c>
      <c r="N55" s="18" t="str">
        <f>VLOOKUP($C55,[2]Sheet1!$A$2:$L$208,11,0)</f>
        <v>기술사무</v>
      </c>
      <c r="P55" s="18" t="str">
        <f>VLOOKUP($C55,[3]Sheet1!$A$2:$L$209,12,0)</f>
        <v>영업팀</v>
      </c>
      <c r="Q55" s="18" t="str">
        <f>VLOOKUP($C55,[3]Sheet1!$A$2:$L$209,2,0)</f>
        <v>최수임</v>
      </c>
      <c r="R55" s="18" t="str">
        <f>VLOOKUP($C55,[3]Sheet1!$A$2:$L$209,11,0)</f>
        <v>기술사무</v>
      </c>
    </row>
    <row r="56" spans="1:18" x14ac:dyDescent="0.3">
      <c r="A56" s="4" t="s">
        <v>622</v>
      </c>
      <c r="B56" s="4" t="s">
        <v>623</v>
      </c>
      <c r="C56" s="5" t="s">
        <v>624</v>
      </c>
      <c r="D56" s="6" t="str">
        <f t="shared" si="0"/>
        <v>BAN/KI HWAN</v>
      </c>
      <c r="E56" s="6" t="str">
        <f>VLOOKUP(C56,'[1]사번,소속,이름'!$A$1:$C$159,3,)</f>
        <v>반기환</v>
      </c>
      <c r="F56" s="5" t="s">
        <v>25</v>
      </c>
      <c r="H56" s="18" t="s">
        <v>25</v>
      </c>
      <c r="L56" s="18" t="str">
        <f>VLOOKUP($C56,[2]Sheet1!$A$2:$L$208,12,0)</f>
        <v>Test팀</v>
      </c>
      <c r="M56" s="18" t="str">
        <f>VLOOKUP($C56,[2]Sheet1!$A$2:$L$208,2,0)</f>
        <v>반기환</v>
      </c>
      <c r="N56" s="18" t="str">
        <f>VLOOKUP($C56,[2]Sheet1!$A$2:$L$208,11,0)</f>
        <v>기술사무</v>
      </c>
      <c r="P56" s="18" t="str">
        <f>VLOOKUP($C56,[3]Sheet1!$A$2:$L$209,12,0)</f>
        <v>Test팀</v>
      </c>
      <c r="Q56" s="18" t="str">
        <f>VLOOKUP($C56,[3]Sheet1!$A$2:$L$209,2,0)</f>
        <v>반기환</v>
      </c>
      <c r="R56" s="18" t="str">
        <f>VLOOKUP($C56,[3]Sheet1!$A$2:$L$209,11,0)</f>
        <v>기술사무</v>
      </c>
    </row>
    <row r="57" spans="1:18" x14ac:dyDescent="0.3">
      <c r="A57" s="4" t="s">
        <v>497</v>
      </c>
      <c r="B57" s="4" t="s">
        <v>625</v>
      </c>
      <c r="C57" s="5" t="s">
        <v>626</v>
      </c>
      <c r="D57" s="6" t="str">
        <f t="shared" si="0"/>
        <v>PARK/YONGJUN</v>
      </c>
      <c r="E57" s="6" t="str">
        <f>VLOOKUP(C57,'[1]사번,소속,이름'!$A$1:$C$159,3,)</f>
        <v>박용준</v>
      </c>
      <c r="F57" s="5" t="s">
        <v>21</v>
      </c>
      <c r="H57" s="18" t="s">
        <v>21</v>
      </c>
      <c r="L57" s="18" t="str">
        <f>VLOOKUP($C57,[2]Sheet1!$A$2:$L$208,12,0)</f>
        <v>품질팀</v>
      </c>
      <c r="M57" s="18" t="str">
        <f>VLOOKUP($C57,[2]Sheet1!$A$2:$L$208,2,0)</f>
        <v>박용준</v>
      </c>
      <c r="N57" s="18" t="str">
        <f>VLOOKUP($C57,[2]Sheet1!$A$2:$L$208,11,0)</f>
        <v>기술사무</v>
      </c>
      <c r="P57" s="18" t="str">
        <f>VLOOKUP($C57,[3]Sheet1!$A$2:$L$209,12,0)</f>
        <v>품질팀</v>
      </c>
      <c r="Q57" s="18" t="str">
        <f>VLOOKUP($C57,[3]Sheet1!$A$2:$L$209,2,0)</f>
        <v>박용준</v>
      </c>
      <c r="R57" s="18" t="str">
        <f>VLOOKUP($C57,[3]Sheet1!$A$2:$L$209,11,0)</f>
        <v>기술사무</v>
      </c>
    </row>
    <row r="58" spans="1:18" x14ac:dyDescent="0.3">
      <c r="A58" s="4" t="s">
        <v>627</v>
      </c>
      <c r="B58" s="4" t="s">
        <v>628</v>
      </c>
      <c r="C58" s="5" t="s">
        <v>629</v>
      </c>
      <c r="D58" s="6" t="str">
        <f t="shared" si="0"/>
        <v>OH/TAK JUN</v>
      </c>
      <c r="E58" s="6" t="str">
        <f>VLOOKUP(C58,'[1]사번,소속,이름'!$A$1:$C$159,3,)</f>
        <v>오택준</v>
      </c>
      <c r="F58" s="5" t="s">
        <v>43</v>
      </c>
      <c r="H58" s="18" t="s">
        <v>535</v>
      </c>
      <c r="L58" s="18" t="str">
        <f>VLOOKUP($C58,[2]Sheet1!$A$2:$L$208,12,0)</f>
        <v>Interface파트(1팀)</v>
      </c>
      <c r="M58" s="18" t="str">
        <f>VLOOKUP($C58,[2]Sheet1!$A$2:$L$208,2,0)</f>
        <v>오택준</v>
      </c>
      <c r="N58" s="18" t="str">
        <f>VLOOKUP($C58,[2]Sheet1!$A$2:$L$208,11,0)</f>
        <v>기술사무</v>
      </c>
      <c r="P58" s="18" t="str">
        <f>VLOOKUP($C58,[3]Sheet1!$A$2:$L$209,12,0)</f>
        <v>Interface파트</v>
      </c>
      <c r="Q58" s="18" t="str">
        <f>VLOOKUP($C58,[3]Sheet1!$A$2:$L$209,2,0)</f>
        <v>오택준</v>
      </c>
      <c r="R58" s="18" t="str">
        <f>VLOOKUP($C58,[3]Sheet1!$A$2:$L$209,11,0)</f>
        <v>기술사무</v>
      </c>
    </row>
    <row r="59" spans="1:18" x14ac:dyDescent="0.3">
      <c r="A59" s="4" t="s">
        <v>617</v>
      </c>
      <c r="B59" s="4" t="s">
        <v>630</v>
      </c>
      <c r="C59" s="5" t="s">
        <v>631</v>
      </c>
      <c r="D59" s="6" t="str">
        <f t="shared" si="0"/>
        <v>HWANG/YOUNG JU</v>
      </c>
      <c r="E59" s="6" t="str">
        <f>VLOOKUP(C59,'[1]사번,소속,이름'!$A$1:$C$159,3,)</f>
        <v>황영주</v>
      </c>
      <c r="F59" s="5" t="s">
        <v>43</v>
      </c>
      <c r="H59" s="18" t="s">
        <v>535</v>
      </c>
      <c r="L59" s="18" t="str">
        <f>VLOOKUP($C59,[2]Sheet1!$A$2:$L$208,12,0)</f>
        <v>Interface파트(1팀)</v>
      </c>
      <c r="M59" s="18" t="str">
        <f>VLOOKUP($C59,[2]Sheet1!$A$2:$L$208,2,0)</f>
        <v>황영주</v>
      </c>
      <c r="N59" s="18" t="str">
        <f>VLOOKUP($C59,[2]Sheet1!$A$2:$L$208,11,0)</f>
        <v>기술사무</v>
      </c>
      <c r="P59" s="18" t="str">
        <f>VLOOKUP($C59,[3]Sheet1!$A$2:$L$209,12,0)</f>
        <v>Interface파트</v>
      </c>
      <c r="Q59" s="18" t="str">
        <f>VLOOKUP($C59,[3]Sheet1!$A$2:$L$209,2,0)</f>
        <v>황영주</v>
      </c>
      <c r="R59" s="18" t="str">
        <f>VLOOKUP($C59,[3]Sheet1!$A$2:$L$209,11,0)</f>
        <v>기술사무</v>
      </c>
    </row>
    <row r="60" spans="1:18" x14ac:dyDescent="0.3">
      <c r="A60" s="4" t="s">
        <v>480</v>
      </c>
      <c r="B60" s="4" t="s">
        <v>632</v>
      </c>
      <c r="C60" s="5" t="s">
        <v>633</v>
      </c>
      <c r="D60" s="6" t="str">
        <f t="shared" si="0"/>
        <v>LEE/KWAN JOO</v>
      </c>
      <c r="E60" s="6" t="str">
        <f>VLOOKUP(C60,'[1]사번,소속,이름'!$A$1:$C$159,3,)</f>
        <v>이관주</v>
      </c>
      <c r="F60" s="5" t="s">
        <v>33</v>
      </c>
      <c r="H60" s="18" t="s">
        <v>535</v>
      </c>
      <c r="L60" s="18" t="str">
        <f>VLOOKUP($C60,[2]Sheet1!$A$2:$L$208,12,0)</f>
        <v>Logic파트(1팀)</v>
      </c>
      <c r="M60" s="18" t="str">
        <f>VLOOKUP($C60,[2]Sheet1!$A$2:$L$208,2,0)</f>
        <v>이관주</v>
      </c>
      <c r="N60" s="18" t="str">
        <f>VLOOKUP($C60,[2]Sheet1!$A$2:$L$208,11,0)</f>
        <v>기술사무</v>
      </c>
      <c r="P60" s="18" t="str">
        <f>VLOOKUP($C60,[3]Sheet1!$A$2:$L$209,12,0)</f>
        <v>제품개발1파트</v>
      </c>
      <c r="Q60" s="18" t="str">
        <f>VLOOKUP($C60,[3]Sheet1!$A$2:$L$209,2,0)</f>
        <v>이관주</v>
      </c>
      <c r="R60" s="18" t="str">
        <f>VLOOKUP($C60,[3]Sheet1!$A$2:$L$209,11,0)</f>
        <v>기술사무</v>
      </c>
    </row>
    <row r="61" spans="1:18" x14ac:dyDescent="0.3">
      <c r="A61" s="4" t="s">
        <v>634</v>
      </c>
      <c r="B61" s="4" t="s">
        <v>635</v>
      </c>
      <c r="C61" s="5" t="s">
        <v>636</v>
      </c>
      <c r="D61" s="6" t="str">
        <f t="shared" si="0"/>
        <v>SEO/JUNGIL</v>
      </c>
      <c r="E61" s="6" t="str">
        <f>VLOOKUP(C61,'[1]사번,소속,이름'!$A$1:$C$159,3,)</f>
        <v>서정일</v>
      </c>
      <c r="F61" s="5" t="s">
        <v>33</v>
      </c>
      <c r="H61" s="18" t="s">
        <v>535</v>
      </c>
      <c r="L61" s="18" t="str">
        <f>VLOOKUP($C61,[2]Sheet1!$A$2:$L$208,12,0)</f>
        <v>Logic파트(1팀)</v>
      </c>
      <c r="M61" s="18" t="str">
        <f>VLOOKUP($C61,[2]Sheet1!$A$2:$L$208,2,0)</f>
        <v>서정일</v>
      </c>
      <c r="N61" s="18" t="str">
        <f>VLOOKUP($C61,[2]Sheet1!$A$2:$L$208,11,0)</f>
        <v>기술사무</v>
      </c>
      <c r="P61" s="18" t="str">
        <f>VLOOKUP($C61,[3]Sheet1!$A$2:$L$209,12,0)</f>
        <v>제품개발1파트</v>
      </c>
      <c r="Q61" s="18" t="str">
        <f>VLOOKUP($C61,[3]Sheet1!$A$2:$L$209,2,0)</f>
        <v>서정일</v>
      </c>
      <c r="R61" s="18" t="str">
        <f>VLOOKUP($C61,[3]Sheet1!$A$2:$L$209,11,0)</f>
        <v>기술사무</v>
      </c>
    </row>
    <row r="62" spans="1:18" x14ac:dyDescent="0.3">
      <c r="A62" s="4" t="s">
        <v>637</v>
      </c>
      <c r="B62" s="4" t="s">
        <v>638</v>
      </c>
      <c r="C62" s="5" t="s">
        <v>639</v>
      </c>
      <c r="D62" s="6" t="str">
        <f t="shared" si="0"/>
        <v>YU/MYOUNG SEOK</v>
      </c>
      <c r="E62" s="6" t="str">
        <f>VLOOKUP(C62,'[1]사번,소속,이름'!$A$1:$C$159,3,)</f>
        <v>유명석</v>
      </c>
      <c r="F62" s="5" t="s">
        <v>37</v>
      </c>
      <c r="H62" s="18" t="s">
        <v>540</v>
      </c>
      <c r="L62" s="18" t="str">
        <f>VLOOKUP($C62,[2]Sheet1!$A$2:$L$208,12,0)</f>
        <v>Logic파트(2팀)</v>
      </c>
      <c r="M62" s="18" t="str">
        <f>VLOOKUP($C62,[2]Sheet1!$A$2:$L$208,2,0)</f>
        <v>유명석</v>
      </c>
      <c r="N62" s="18" t="str">
        <f>VLOOKUP($C62,[2]Sheet1!$A$2:$L$208,11,0)</f>
        <v>기술사무</v>
      </c>
      <c r="P62" s="18" t="str">
        <f>VLOOKUP($C62,[3]Sheet1!$A$2:$L$209,12,0)</f>
        <v>Logic파트</v>
      </c>
      <c r="Q62" s="18" t="str">
        <f>VLOOKUP($C62,[3]Sheet1!$A$2:$L$209,2,0)</f>
        <v>유명석</v>
      </c>
      <c r="R62" s="18" t="str">
        <f>VLOOKUP($C62,[3]Sheet1!$A$2:$L$209,11,0)</f>
        <v>기술사무</v>
      </c>
    </row>
    <row r="63" spans="1:18" x14ac:dyDescent="0.3">
      <c r="A63" s="4" t="s">
        <v>640</v>
      </c>
      <c r="B63" s="4" t="s">
        <v>641</v>
      </c>
      <c r="C63" s="5" t="s">
        <v>642</v>
      </c>
      <c r="D63" s="6" t="str">
        <f t="shared" si="0"/>
        <v>SEOL/HYUN SOO</v>
      </c>
      <c r="E63" s="6" t="str">
        <f>VLOOKUP(C63,'[1]사번,소속,이름'!$A$1:$C$159,3,)</f>
        <v>설현수</v>
      </c>
      <c r="F63" s="5" t="s">
        <v>593</v>
      </c>
      <c r="H63" s="18" t="s">
        <v>593</v>
      </c>
      <c r="L63" s="18" t="str">
        <f>VLOOKUP($C63,[2]Sheet1!$A$2:$L$208,12,0)</f>
        <v>Layout팀</v>
      </c>
      <c r="M63" s="18" t="str">
        <f>VLOOKUP($C63,[2]Sheet1!$A$2:$L$208,2,0)</f>
        <v>설현수</v>
      </c>
      <c r="N63" s="18" t="str">
        <f>VLOOKUP($C63,[2]Sheet1!$A$2:$L$208,11,0)</f>
        <v>기술사무</v>
      </c>
      <c r="P63" s="18" t="str">
        <f>VLOOKUP($C63,[3]Sheet1!$A$2:$L$209,12,0)</f>
        <v>Layout팀</v>
      </c>
      <c r="Q63" s="18" t="str">
        <f>VLOOKUP($C63,[3]Sheet1!$A$2:$L$209,2,0)</f>
        <v>설현수</v>
      </c>
      <c r="R63" s="18" t="str">
        <f>VLOOKUP($C63,[3]Sheet1!$A$2:$L$209,11,0)</f>
        <v>기술사무</v>
      </c>
    </row>
    <row r="64" spans="1:18" x14ac:dyDescent="0.3">
      <c r="A64" s="4" t="s">
        <v>643</v>
      </c>
      <c r="B64" s="4" t="s">
        <v>644</v>
      </c>
      <c r="C64" s="5" t="s">
        <v>645</v>
      </c>
      <c r="D64" s="6" t="str">
        <f t="shared" si="0"/>
        <v>MA/PYUNG SIK</v>
      </c>
      <c r="E64" s="6" t="str">
        <f>VLOOKUP(C64,'[1]사번,소속,이름'!$A$1:$C$159,3,)</f>
        <v>마평식</v>
      </c>
      <c r="F64" s="5" t="s">
        <v>41</v>
      </c>
      <c r="H64" s="18" t="s">
        <v>535</v>
      </c>
      <c r="L64" s="18" t="str">
        <f>VLOOKUP($C64,[2]Sheet1!$A$2:$L$208,12,0)</f>
        <v>Analog파트(1팀)</v>
      </c>
      <c r="M64" s="18" t="str">
        <f>VLOOKUP($C64,[2]Sheet1!$A$2:$L$208,2,0)</f>
        <v>마평식</v>
      </c>
      <c r="N64" s="18" t="str">
        <f>VLOOKUP($C64,[2]Sheet1!$A$2:$L$208,11,0)</f>
        <v>기술사무</v>
      </c>
      <c r="P64" s="18" t="str">
        <f>VLOOKUP($C64,[3]Sheet1!$A$2:$L$209,12,0)</f>
        <v>Analog1파트</v>
      </c>
      <c r="Q64" s="18" t="str">
        <f>VLOOKUP($C64,[3]Sheet1!$A$2:$L$209,2,0)</f>
        <v>마평식</v>
      </c>
      <c r="R64" s="18" t="str">
        <f>VLOOKUP($C64,[3]Sheet1!$A$2:$L$209,11,0)</f>
        <v>기술사무</v>
      </c>
    </row>
    <row r="65" spans="1:18" x14ac:dyDescent="0.3">
      <c r="A65" s="4" t="s">
        <v>497</v>
      </c>
      <c r="B65" s="4" t="s">
        <v>646</v>
      </c>
      <c r="C65" s="5" t="s">
        <v>647</v>
      </c>
      <c r="D65" s="6" t="str">
        <f t="shared" si="0"/>
        <v>PARK/CHEONWI</v>
      </c>
      <c r="E65" s="6" t="str">
        <f>VLOOKUP(C65,'[1]사번,소속,이름'!$A$1:$C$159,3,)</f>
        <v>박천위</v>
      </c>
      <c r="F65" s="5" t="s">
        <v>41</v>
      </c>
      <c r="H65" s="18" t="s">
        <v>535</v>
      </c>
      <c r="L65" s="18" t="str">
        <f>VLOOKUP($C65,[2]Sheet1!$A$2:$L$208,12,0)</f>
        <v>Analog파트(1팀)</v>
      </c>
      <c r="M65" s="18" t="str">
        <f>VLOOKUP($C65,[2]Sheet1!$A$2:$L$208,2,0)</f>
        <v>박천위</v>
      </c>
      <c r="N65" s="18" t="str">
        <f>VLOOKUP($C65,[2]Sheet1!$A$2:$L$208,11,0)</f>
        <v>기술사무</v>
      </c>
      <c r="P65" s="18" t="str">
        <f>VLOOKUP($C65,[3]Sheet1!$A$2:$L$209,12,0)</f>
        <v>Analog1파트</v>
      </c>
      <c r="Q65" s="18" t="str">
        <f>VLOOKUP($C65,[3]Sheet1!$A$2:$L$209,2,0)</f>
        <v>박천위</v>
      </c>
      <c r="R65" s="18" t="str">
        <f>VLOOKUP($C65,[3]Sheet1!$A$2:$L$209,11,0)</f>
        <v>기술사무</v>
      </c>
    </row>
    <row r="66" spans="1:18" x14ac:dyDescent="0.3">
      <c r="A66" s="4" t="s">
        <v>648</v>
      </c>
      <c r="B66" s="4" t="s">
        <v>649</v>
      </c>
      <c r="C66" s="5" t="s">
        <v>650</v>
      </c>
      <c r="D66" s="6" t="str">
        <f t="shared" ref="D66:D129" si="1">A66&amp;"/"&amp;B66</f>
        <v>YIN/QIUSHI</v>
      </c>
      <c r="E66" s="6" t="str">
        <f>VLOOKUP(C66,'[1]사번,소속,이름'!$A$1:$C$159,3,)</f>
        <v>윤추실</v>
      </c>
      <c r="F66" s="5" t="s">
        <v>23</v>
      </c>
      <c r="H66" s="18" t="s">
        <v>23</v>
      </c>
      <c r="L66" s="18" t="str">
        <f>VLOOKUP($C66,[2]Sheet1!$A$2:$L$208,12,0)</f>
        <v>제품기술팀</v>
      </c>
      <c r="M66" s="18" t="str">
        <f>VLOOKUP($C66,[2]Sheet1!$A$2:$L$208,2,0)</f>
        <v>윤추실</v>
      </c>
      <c r="N66" s="18" t="str">
        <f>VLOOKUP($C66,[2]Sheet1!$A$2:$L$208,11,0)</f>
        <v>기술사무</v>
      </c>
      <c r="P66" s="18" t="str">
        <f>VLOOKUP($C66,[3]Sheet1!$A$2:$L$209,12,0)</f>
        <v>제품기술팀</v>
      </c>
      <c r="Q66" s="18" t="str">
        <f>VLOOKUP($C66,[3]Sheet1!$A$2:$L$209,2,0)</f>
        <v>윤추실</v>
      </c>
      <c r="R66" s="18" t="str">
        <f>VLOOKUP($C66,[3]Sheet1!$A$2:$L$209,11,0)</f>
        <v>기술사무</v>
      </c>
    </row>
    <row r="67" spans="1:18" x14ac:dyDescent="0.3">
      <c r="A67" s="4" t="s">
        <v>480</v>
      </c>
      <c r="B67" s="4" t="s">
        <v>651</v>
      </c>
      <c r="C67" s="5" t="s">
        <v>652</v>
      </c>
      <c r="D67" s="6" t="str">
        <f t="shared" si="1"/>
        <v>LEE/MYEONG HO</v>
      </c>
      <c r="E67" s="6" t="str">
        <f>VLOOKUP(C67,'[1]사번,소속,이름'!$A$1:$C$159,3,)</f>
        <v>이명호</v>
      </c>
      <c r="F67" s="5" t="s">
        <v>43</v>
      </c>
      <c r="H67" s="18" t="s">
        <v>535</v>
      </c>
      <c r="L67" s="18" t="str">
        <f>VLOOKUP($C67,[2]Sheet1!$A$2:$L$208,12,0)</f>
        <v>Interface파트(1팀)</v>
      </c>
      <c r="M67" s="18" t="str">
        <f>VLOOKUP($C67,[2]Sheet1!$A$2:$L$208,2,0)</f>
        <v>이명호</v>
      </c>
      <c r="N67" s="18" t="str">
        <f>VLOOKUP($C67,[2]Sheet1!$A$2:$L$208,11,0)</f>
        <v>기술사무</v>
      </c>
      <c r="P67" s="18" t="str">
        <f>VLOOKUP($C67,[3]Sheet1!$A$2:$L$209,12,0)</f>
        <v>Interface파트</v>
      </c>
      <c r="Q67" s="18" t="str">
        <f>VLOOKUP($C67,[3]Sheet1!$A$2:$L$209,2,0)</f>
        <v>이명호</v>
      </c>
      <c r="R67" s="18" t="str">
        <f>VLOOKUP($C67,[3]Sheet1!$A$2:$L$209,11,0)</f>
        <v>기술사무</v>
      </c>
    </row>
    <row r="68" spans="1:18" x14ac:dyDescent="0.3">
      <c r="A68" s="4" t="s">
        <v>497</v>
      </c>
      <c r="B68" s="4" t="s">
        <v>653</v>
      </c>
      <c r="C68" s="5" t="s">
        <v>654</v>
      </c>
      <c r="D68" s="6" t="str">
        <f t="shared" si="1"/>
        <v>PARK/JUN YOUNG</v>
      </c>
      <c r="E68" s="6" t="str">
        <f>VLOOKUP(C68,'[1]사번,소속,이름'!$A$1:$C$159,3,)</f>
        <v>박준영</v>
      </c>
      <c r="F68" s="5" t="s">
        <v>33</v>
      </c>
      <c r="H68" s="18" t="s">
        <v>535</v>
      </c>
      <c r="L68" s="18" t="str">
        <f>VLOOKUP($C68,[2]Sheet1!$A$2:$L$208,12,0)</f>
        <v>Logic파트(1팀)</v>
      </c>
      <c r="M68" s="18" t="str">
        <f>VLOOKUP($C68,[2]Sheet1!$A$2:$L$208,2,0)</f>
        <v>박준영</v>
      </c>
      <c r="N68" s="18" t="str">
        <f>VLOOKUP($C68,[2]Sheet1!$A$2:$L$208,11,0)</f>
        <v>기술사무</v>
      </c>
      <c r="P68" s="18" t="str">
        <f>VLOOKUP($C68,[3]Sheet1!$A$2:$L$209,12,0)</f>
        <v>제품개발1파트</v>
      </c>
      <c r="Q68" s="18" t="str">
        <f>VLOOKUP($C68,[3]Sheet1!$A$2:$L$209,2,0)</f>
        <v>박준영</v>
      </c>
      <c r="R68" s="18" t="str">
        <f>VLOOKUP($C68,[3]Sheet1!$A$2:$L$209,11,0)</f>
        <v>기술사무</v>
      </c>
    </row>
    <row r="69" spans="1:18" x14ac:dyDescent="0.3">
      <c r="A69" s="4" t="s">
        <v>655</v>
      </c>
      <c r="B69" s="4" t="s">
        <v>656</v>
      </c>
      <c r="C69" s="5" t="s">
        <v>657</v>
      </c>
      <c r="D69" s="6" t="str">
        <f t="shared" si="1"/>
        <v>JUNG/KI SUN</v>
      </c>
      <c r="E69" s="6" t="str">
        <f>VLOOKUP(C69,'[1]사번,소속,이름'!$A$1:$C$159,3,)</f>
        <v>정기선</v>
      </c>
      <c r="F69" s="5" t="s">
        <v>34</v>
      </c>
      <c r="H69" s="18" t="s">
        <v>535</v>
      </c>
      <c r="L69" s="18" t="str">
        <f>VLOOKUP($C69,[2]Sheet1!$A$2:$L$208,12,0)</f>
        <v>Logic파트(1팀)</v>
      </c>
      <c r="M69" s="18" t="str">
        <f>VLOOKUP($C69,[2]Sheet1!$A$2:$L$208,2,0)</f>
        <v>정기선</v>
      </c>
      <c r="N69" s="18" t="str">
        <f>VLOOKUP($C69,[2]Sheet1!$A$2:$L$208,11,0)</f>
        <v>기술사무</v>
      </c>
      <c r="P69" s="18" t="str">
        <f>VLOOKUP($C69,[3]Sheet1!$A$2:$L$209,12,0)</f>
        <v>제품개발2파트</v>
      </c>
      <c r="Q69" s="18" t="str">
        <f>VLOOKUP($C69,[3]Sheet1!$A$2:$L$209,2,0)</f>
        <v>정기선</v>
      </c>
      <c r="R69" s="18" t="str">
        <f>VLOOKUP($C69,[3]Sheet1!$A$2:$L$209,11,0)</f>
        <v>기술사무</v>
      </c>
    </row>
    <row r="70" spans="1:18" x14ac:dyDescent="0.3">
      <c r="A70" s="4" t="s">
        <v>480</v>
      </c>
      <c r="B70" s="4" t="s">
        <v>658</v>
      </c>
      <c r="C70" s="5" t="s">
        <v>659</v>
      </c>
      <c r="D70" s="6" t="str">
        <f t="shared" si="1"/>
        <v>LEE/PYO HYEON</v>
      </c>
      <c r="E70" s="6" t="str">
        <f>VLOOKUP(C70,'[1]사번,소속,이름'!$A$1:$C$159,3,)</f>
        <v>이표현</v>
      </c>
      <c r="F70" s="5" t="s">
        <v>593</v>
      </c>
      <c r="H70" s="18" t="s">
        <v>593</v>
      </c>
      <c r="L70" s="18" t="str">
        <f>VLOOKUP($C70,[2]Sheet1!$A$2:$L$208,12,0)</f>
        <v>Layout팀</v>
      </c>
      <c r="M70" s="18" t="str">
        <f>VLOOKUP($C70,[2]Sheet1!$A$2:$L$208,2,0)</f>
        <v>이표현</v>
      </c>
      <c r="N70" s="18" t="str">
        <f>VLOOKUP($C70,[2]Sheet1!$A$2:$L$208,11,0)</f>
        <v>기술사무</v>
      </c>
      <c r="P70" s="18" t="str">
        <f>VLOOKUP($C70,[3]Sheet1!$A$2:$L$209,12,0)</f>
        <v>Layout팀</v>
      </c>
      <c r="Q70" s="18" t="str">
        <f>VLOOKUP($C70,[3]Sheet1!$A$2:$L$209,2,0)</f>
        <v>이표현</v>
      </c>
      <c r="R70" s="18" t="str">
        <f>VLOOKUP($C70,[3]Sheet1!$A$2:$L$209,11,0)</f>
        <v>기술사무</v>
      </c>
    </row>
    <row r="71" spans="1:18" x14ac:dyDescent="0.3">
      <c r="A71" s="4" t="s">
        <v>660</v>
      </c>
      <c r="B71" s="4" t="s">
        <v>661</v>
      </c>
      <c r="C71" s="5" t="s">
        <v>662</v>
      </c>
      <c r="D71" s="6" t="str">
        <f t="shared" si="1"/>
        <v>lee/yu jin</v>
      </c>
      <c r="E71" s="6" t="str">
        <f>VLOOKUP(C71,'[1]사번,소속,이름'!$A$1:$C$159,3,)</f>
        <v>이유진</v>
      </c>
      <c r="F71" s="5" t="s">
        <v>593</v>
      </c>
      <c r="H71" s="18" t="s">
        <v>593</v>
      </c>
      <c r="L71" s="18" t="str">
        <f>VLOOKUP($C71,[2]Sheet1!$A$2:$L$208,12,0)</f>
        <v>Layout팀</v>
      </c>
      <c r="M71" s="18" t="str">
        <f>VLOOKUP($C71,[2]Sheet1!$A$2:$L$208,2,0)</f>
        <v>이유진</v>
      </c>
      <c r="N71" s="18" t="str">
        <f>VLOOKUP($C71,[2]Sheet1!$A$2:$L$208,11,0)</f>
        <v>기술사무</v>
      </c>
      <c r="P71" s="18" t="str">
        <f>VLOOKUP($C71,[3]Sheet1!$A$2:$L$209,12,0)</f>
        <v>Layout팀</v>
      </c>
      <c r="Q71" s="18" t="str">
        <f>VLOOKUP($C71,[3]Sheet1!$A$2:$L$209,2,0)</f>
        <v>이유진</v>
      </c>
      <c r="R71" s="18" t="str">
        <f>VLOOKUP($C71,[3]Sheet1!$A$2:$L$209,11,0)</f>
        <v>기술사무</v>
      </c>
    </row>
    <row r="72" spans="1:18" x14ac:dyDescent="0.3">
      <c r="A72" s="4" t="s">
        <v>521</v>
      </c>
      <c r="B72" s="4" t="s">
        <v>663</v>
      </c>
      <c r="C72" s="5" t="s">
        <v>664</v>
      </c>
      <c r="D72" s="6" t="str">
        <f t="shared" si="1"/>
        <v>KIM/KYUNG HWAN</v>
      </c>
      <c r="E72" s="6" t="str">
        <f>VLOOKUP(C72,'[1]사번,소속,이름'!$A$1:$C$159,3,)</f>
        <v>김경환</v>
      </c>
      <c r="F72" s="5" t="s">
        <v>607</v>
      </c>
      <c r="H72" s="18" t="s">
        <v>50</v>
      </c>
      <c r="L72" s="18" t="str">
        <f>VLOOKUP($C72,[2]Sheet1!$A$2:$L$208,12,0)</f>
        <v>1파트</v>
      </c>
      <c r="M72" s="18" t="str">
        <f>VLOOKUP($C72,[2]Sheet1!$A$2:$L$208,2,0)</f>
        <v>김경환</v>
      </c>
      <c r="N72" s="18" t="str">
        <f>VLOOKUP($C72,[2]Sheet1!$A$2:$L$208,11,0)</f>
        <v>기술사무</v>
      </c>
      <c r="P72" s="18" t="str">
        <f>VLOOKUP($C72,[3]Sheet1!$A$2:$L$209,12,0)</f>
        <v>1파트</v>
      </c>
      <c r="Q72" s="18" t="str">
        <f>VLOOKUP($C72,[3]Sheet1!$A$2:$L$209,2,0)</f>
        <v>김경환</v>
      </c>
      <c r="R72" s="18" t="str">
        <f>VLOOKUP($C72,[3]Sheet1!$A$2:$L$209,11,0)</f>
        <v>기술사무</v>
      </c>
    </row>
    <row r="73" spans="1:18" x14ac:dyDescent="0.3">
      <c r="A73" s="4" t="s">
        <v>521</v>
      </c>
      <c r="B73" s="4" t="s">
        <v>665</v>
      </c>
      <c r="C73" s="5" t="s">
        <v>666</v>
      </c>
      <c r="D73" s="6" t="str">
        <f t="shared" si="1"/>
        <v>KIM/YEONG MIN</v>
      </c>
      <c r="E73" s="6" t="str">
        <f>VLOOKUP(C73,'[1]사번,소속,이름'!$A$1:$C$159,3,)</f>
        <v>김영민</v>
      </c>
      <c r="F73" s="5" t="s">
        <v>38</v>
      </c>
      <c r="H73" s="18" t="s">
        <v>540</v>
      </c>
      <c r="L73" s="18" t="str">
        <f>VLOOKUP($C73,[2]Sheet1!$A$2:$L$208,12,0)</f>
        <v>Digital IP파트(2팀)</v>
      </c>
      <c r="M73" s="18" t="str">
        <f>VLOOKUP($C73,[2]Sheet1!$A$2:$L$208,2,0)</f>
        <v>김영민</v>
      </c>
      <c r="N73" s="18" t="str">
        <f>VLOOKUP($C73,[2]Sheet1!$A$2:$L$208,11,0)</f>
        <v>기술사무</v>
      </c>
      <c r="P73" s="18" t="str">
        <f>VLOOKUP($C73,[3]Sheet1!$A$2:$L$209,12,0)</f>
        <v>Digital IP파트</v>
      </c>
      <c r="Q73" s="18" t="str">
        <f>VLOOKUP($C73,[3]Sheet1!$A$2:$L$209,2,0)</f>
        <v>김영민</v>
      </c>
      <c r="R73" s="18" t="str">
        <f>VLOOKUP($C73,[3]Sheet1!$A$2:$L$209,11,0)</f>
        <v>기술사무</v>
      </c>
    </row>
    <row r="74" spans="1:18" x14ac:dyDescent="0.3">
      <c r="A74" s="4" t="s">
        <v>667</v>
      </c>
      <c r="B74" s="4" t="s">
        <v>668</v>
      </c>
      <c r="C74" s="5" t="s">
        <v>669</v>
      </c>
      <c r="D74" s="6" t="str">
        <f t="shared" si="1"/>
        <v>LIM/JAE HO</v>
      </c>
      <c r="E74" s="6" t="str">
        <f>VLOOKUP(C74,'[1]사번,소속,이름'!$A$1:$C$159,3,)</f>
        <v>임재호</v>
      </c>
      <c r="F74" s="5" t="s">
        <v>37</v>
      </c>
      <c r="H74" s="18" t="s">
        <v>540</v>
      </c>
      <c r="L74" s="18" t="str">
        <f>VLOOKUP($C74,[2]Sheet1!$A$2:$L$208,12,0)</f>
        <v>Logic파트(2팀)</v>
      </c>
      <c r="M74" s="18" t="str">
        <f>VLOOKUP($C74,[2]Sheet1!$A$2:$L$208,2,0)</f>
        <v>임재호</v>
      </c>
      <c r="N74" s="18" t="str">
        <f>VLOOKUP($C74,[2]Sheet1!$A$2:$L$208,11,0)</f>
        <v>기술사무</v>
      </c>
      <c r="P74" s="18" t="str">
        <f>VLOOKUP($C74,[3]Sheet1!$A$2:$L$209,12,0)</f>
        <v>Logic파트</v>
      </c>
      <c r="Q74" s="18" t="str">
        <f>VLOOKUP($C74,[3]Sheet1!$A$2:$L$209,2,0)</f>
        <v>임재호</v>
      </c>
      <c r="R74" s="18" t="str">
        <f>VLOOKUP($C74,[3]Sheet1!$A$2:$L$209,11,0)</f>
        <v>기술사무</v>
      </c>
    </row>
    <row r="75" spans="1:18" x14ac:dyDescent="0.3">
      <c r="A75" s="4" t="s">
        <v>655</v>
      </c>
      <c r="B75" s="4" t="s">
        <v>670</v>
      </c>
      <c r="C75" s="5" t="s">
        <v>671</v>
      </c>
      <c r="D75" s="6" t="str">
        <f t="shared" si="1"/>
        <v>JUNG/CHAN KYEONG</v>
      </c>
      <c r="E75" s="6" t="str">
        <f>VLOOKUP(C75,'[1]사번,소속,이름'!$A$1:$C$159,3,)</f>
        <v>정찬경</v>
      </c>
      <c r="F75" s="5" t="s">
        <v>41</v>
      </c>
      <c r="H75" s="18" t="s">
        <v>535</v>
      </c>
      <c r="L75" s="18" t="str">
        <f>VLOOKUP($C75,[2]Sheet1!$A$2:$L$208,12,0)</f>
        <v>Analog파트(1팀)</v>
      </c>
      <c r="M75" s="18" t="str">
        <f>VLOOKUP($C75,[2]Sheet1!$A$2:$L$208,2,0)</f>
        <v>정찬경</v>
      </c>
      <c r="N75" s="18" t="str">
        <f>VLOOKUP($C75,[2]Sheet1!$A$2:$L$208,11,0)</f>
        <v>기술사무</v>
      </c>
      <c r="P75" s="18" t="str">
        <f>VLOOKUP($C75,[3]Sheet1!$A$2:$L$209,12,0)</f>
        <v>Analog1파트</v>
      </c>
      <c r="Q75" s="18" t="str">
        <f>VLOOKUP($C75,[3]Sheet1!$A$2:$L$209,2,0)</f>
        <v>정찬경</v>
      </c>
      <c r="R75" s="18" t="str">
        <f>VLOOKUP($C75,[3]Sheet1!$A$2:$L$209,11,0)</f>
        <v>기술사무</v>
      </c>
    </row>
    <row r="76" spans="1:18" x14ac:dyDescent="0.3">
      <c r="A76" s="4" t="s">
        <v>672</v>
      </c>
      <c r="B76" s="4" t="s">
        <v>673</v>
      </c>
      <c r="C76" s="5" t="s">
        <v>674</v>
      </c>
      <c r="D76" s="6" t="str">
        <f t="shared" si="1"/>
        <v>KA/HAK JIN</v>
      </c>
      <c r="E76" s="6" t="str">
        <f>VLOOKUP(C76,'[1]사번,소속,이름'!$A$1:$C$159,3,)</f>
        <v>가학진</v>
      </c>
      <c r="F76" s="5" t="s">
        <v>42</v>
      </c>
      <c r="H76" s="18" t="s">
        <v>540</v>
      </c>
      <c r="L76" s="18" t="str">
        <f>VLOOKUP($C76,[2]Sheet1!$A$2:$L$208,12,0)</f>
        <v>Analog파트(2팀)</v>
      </c>
      <c r="M76" s="18" t="str">
        <f>VLOOKUP($C76,[2]Sheet1!$A$2:$L$208,2,0)</f>
        <v>가학진</v>
      </c>
      <c r="N76" s="18" t="str">
        <f>VLOOKUP($C76,[2]Sheet1!$A$2:$L$208,11,0)</f>
        <v>기술사무</v>
      </c>
      <c r="P76" s="18" t="str">
        <f>VLOOKUP($C76,[3]Sheet1!$A$2:$L$209,12,0)</f>
        <v>Analog2파트</v>
      </c>
      <c r="Q76" s="18" t="str">
        <f>VLOOKUP($C76,[3]Sheet1!$A$2:$L$209,2,0)</f>
        <v>가학진</v>
      </c>
      <c r="R76" s="18" t="str">
        <f>VLOOKUP($C76,[3]Sheet1!$A$2:$L$209,11,0)</f>
        <v>기술사무</v>
      </c>
    </row>
    <row r="77" spans="1:18" x14ac:dyDescent="0.3">
      <c r="A77" s="4" t="s">
        <v>480</v>
      </c>
      <c r="B77" s="4" t="s">
        <v>675</v>
      </c>
      <c r="C77" s="5" t="s">
        <v>676</v>
      </c>
      <c r="D77" s="6" t="str">
        <f t="shared" si="1"/>
        <v>LEE/SEUNG HWA</v>
      </c>
      <c r="E77" s="6" t="str">
        <f>VLOOKUP(C77,'[1]사번,소속,이름'!$A$1:$C$159,3,)</f>
        <v>이승화</v>
      </c>
      <c r="F77" s="5" t="s">
        <v>21</v>
      </c>
      <c r="H77" s="18" t="s">
        <v>21</v>
      </c>
      <c r="L77" s="18" t="str">
        <f>VLOOKUP($C77,[2]Sheet1!$A$2:$L$208,12,0)</f>
        <v>품질팀</v>
      </c>
      <c r="M77" s="18" t="str">
        <f>VLOOKUP($C77,[2]Sheet1!$A$2:$L$208,2,0)</f>
        <v>이승화</v>
      </c>
      <c r="N77" s="18" t="str">
        <f>VLOOKUP($C77,[2]Sheet1!$A$2:$L$208,11,0)</f>
        <v>기술사무</v>
      </c>
      <c r="P77" s="18" t="str">
        <f>VLOOKUP($C77,[3]Sheet1!$A$2:$L$209,12,0)</f>
        <v>품질팀</v>
      </c>
      <c r="Q77" s="18" t="str">
        <f>VLOOKUP($C77,[3]Sheet1!$A$2:$L$209,2,0)</f>
        <v>이승화</v>
      </c>
      <c r="R77" s="18" t="str">
        <f>VLOOKUP($C77,[3]Sheet1!$A$2:$L$209,11,0)</f>
        <v>기술사무</v>
      </c>
    </row>
    <row r="78" spans="1:18" x14ac:dyDescent="0.3">
      <c r="A78" s="4" t="s">
        <v>677</v>
      </c>
      <c r="B78" s="4" t="s">
        <v>678</v>
      </c>
      <c r="C78" s="5" t="s">
        <v>679</v>
      </c>
      <c r="D78" s="6" t="str">
        <f t="shared" si="1"/>
        <v>BYEON/JI SU</v>
      </c>
      <c r="E78" s="6" t="str">
        <f>VLOOKUP(C78,'[1]사번,소속,이름'!$A$1:$C$159,3,)</f>
        <v>변지수</v>
      </c>
      <c r="F78" s="5" t="s">
        <v>13</v>
      </c>
      <c r="H78" s="18" t="s">
        <v>13</v>
      </c>
      <c r="L78" s="18" t="str">
        <f>VLOOKUP($C78,[2]Sheet1!$A$2:$L$208,12,0)</f>
        <v>SCM담당</v>
      </c>
      <c r="M78" s="18" t="str">
        <f>VLOOKUP($C78,[2]Sheet1!$A$2:$L$208,2,0)</f>
        <v>변지수</v>
      </c>
      <c r="N78" s="18" t="str">
        <f>VLOOKUP($C78,[2]Sheet1!$A$2:$L$208,11,0)</f>
        <v>기술사무</v>
      </c>
      <c r="P78" s="18" t="str">
        <f>VLOOKUP($C78,[3]Sheet1!$A$2:$L$209,12,0)</f>
        <v>SCM담당</v>
      </c>
      <c r="Q78" s="18" t="str">
        <f>VLOOKUP($C78,[3]Sheet1!$A$2:$L$209,2,0)</f>
        <v>변지수</v>
      </c>
      <c r="R78" s="18" t="str">
        <f>VLOOKUP($C78,[3]Sheet1!$A$2:$L$209,11,0)</f>
        <v>기술사무</v>
      </c>
    </row>
    <row r="79" spans="1:18" x14ac:dyDescent="0.3">
      <c r="A79" s="4" t="s">
        <v>680</v>
      </c>
      <c r="B79" s="4" t="s">
        <v>681</v>
      </c>
      <c r="C79" s="5" t="s">
        <v>682</v>
      </c>
      <c r="D79" s="6" t="str">
        <f t="shared" si="1"/>
        <v>BAEK/IN CHEOL</v>
      </c>
      <c r="E79" s="6" t="str">
        <f>VLOOKUP(C79,'[1]사번,소속,이름'!$A$1:$C$159,3,)</f>
        <v>백인철</v>
      </c>
      <c r="F79" s="5" t="s">
        <v>23</v>
      </c>
      <c r="H79" s="18" t="s">
        <v>23</v>
      </c>
      <c r="L79" s="18" t="str">
        <f>VLOOKUP($C79,[2]Sheet1!$A$2:$L$208,12,0)</f>
        <v>제품기술팀</v>
      </c>
      <c r="M79" s="18" t="str">
        <f>VLOOKUP($C79,[2]Sheet1!$A$2:$L$208,2,0)</f>
        <v>백인철</v>
      </c>
      <c r="N79" s="18" t="str">
        <f>VLOOKUP($C79,[2]Sheet1!$A$2:$L$208,11,0)</f>
        <v>기술사무</v>
      </c>
      <c r="P79" s="18" t="str">
        <f>VLOOKUP($C79,[3]Sheet1!$A$2:$L$209,12,0)</f>
        <v>제품기술팀</v>
      </c>
      <c r="Q79" s="18" t="str">
        <f>VLOOKUP($C79,[3]Sheet1!$A$2:$L$209,2,0)</f>
        <v>백인철</v>
      </c>
      <c r="R79" s="18" t="str">
        <f>VLOOKUP($C79,[3]Sheet1!$A$2:$L$209,11,0)</f>
        <v>기술사무</v>
      </c>
    </row>
    <row r="80" spans="1:18" x14ac:dyDescent="0.3">
      <c r="A80" s="4" t="s">
        <v>549</v>
      </c>
      <c r="B80" s="4" t="s">
        <v>683</v>
      </c>
      <c r="C80" s="5" t="s">
        <v>684</v>
      </c>
      <c r="D80" s="6" t="str">
        <f t="shared" si="1"/>
        <v>JANG/JIN WOONG</v>
      </c>
      <c r="E80" s="6" t="str">
        <f>VLOOKUP(C80,'[1]사번,소속,이름'!$A$1:$C$159,3,)</f>
        <v>장진웅</v>
      </c>
      <c r="F80" s="5" t="s">
        <v>43</v>
      </c>
      <c r="H80" s="18" t="s">
        <v>535</v>
      </c>
      <c r="L80" s="18" t="str">
        <f>VLOOKUP($C80,[2]Sheet1!$A$2:$L$208,12,0)</f>
        <v>Interface파트(1팀)</v>
      </c>
      <c r="M80" s="18" t="str">
        <f>VLOOKUP($C80,[2]Sheet1!$A$2:$L$208,2,0)</f>
        <v>장진웅</v>
      </c>
      <c r="N80" s="18" t="str">
        <f>VLOOKUP($C80,[2]Sheet1!$A$2:$L$208,11,0)</f>
        <v>기술사무</v>
      </c>
      <c r="P80" s="18" t="str">
        <f>VLOOKUP($C80,[3]Sheet1!$A$2:$L$209,12,0)</f>
        <v>Interface파트</v>
      </c>
      <c r="Q80" s="18" t="str">
        <f>VLOOKUP($C80,[3]Sheet1!$A$2:$L$209,2,0)</f>
        <v>장진웅</v>
      </c>
      <c r="R80" s="18" t="str">
        <f>VLOOKUP($C80,[3]Sheet1!$A$2:$L$209,11,0)</f>
        <v>기술사무</v>
      </c>
    </row>
    <row r="81" spans="1:18" x14ac:dyDescent="0.3">
      <c r="A81" s="4" t="s">
        <v>493</v>
      </c>
      <c r="B81" s="4" t="s">
        <v>685</v>
      </c>
      <c r="C81" s="5" t="s">
        <v>686</v>
      </c>
      <c r="D81" s="6" t="str">
        <f t="shared" si="1"/>
        <v>CHOI/SEONG MIN</v>
      </c>
      <c r="E81" s="6" t="str">
        <f>VLOOKUP(C81,'[1]사번,소속,이름'!$A$1:$C$159,3,)</f>
        <v>최성민</v>
      </c>
      <c r="F81" s="5" t="s">
        <v>37</v>
      </c>
      <c r="H81" s="18" t="s">
        <v>540</v>
      </c>
      <c r="L81" s="18" t="str">
        <f>VLOOKUP($C81,[2]Sheet1!$A$2:$L$208,12,0)</f>
        <v>Logic파트(2팀)</v>
      </c>
      <c r="M81" s="18" t="str">
        <f>VLOOKUP($C81,[2]Sheet1!$A$2:$L$208,2,0)</f>
        <v>최성민</v>
      </c>
      <c r="N81" s="18" t="str">
        <f>VLOOKUP($C81,[2]Sheet1!$A$2:$L$208,11,0)</f>
        <v>기술사무</v>
      </c>
      <c r="P81" s="18" t="str">
        <f>VLOOKUP($C81,[3]Sheet1!$A$2:$L$209,12,0)</f>
        <v>Logic파트</v>
      </c>
      <c r="Q81" s="18" t="str">
        <f>VLOOKUP($C81,[3]Sheet1!$A$2:$L$209,2,0)</f>
        <v>최성민</v>
      </c>
      <c r="R81" s="18" t="str">
        <f>VLOOKUP($C81,[3]Sheet1!$A$2:$L$209,11,0)</f>
        <v>기술사무</v>
      </c>
    </row>
    <row r="82" spans="1:18" x14ac:dyDescent="0.3">
      <c r="A82" s="4" t="s">
        <v>637</v>
      </c>
      <c r="B82" s="4" t="s">
        <v>687</v>
      </c>
      <c r="C82" s="5" t="s">
        <v>688</v>
      </c>
      <c r="D82" s="6" t="str">
        <f t="shared" si="1"/>
        <v>YU/JEYEOL</v>
      </c>
      <c r="E82" s="6" t="str">
        <f>VLOOKUP(C82,'[1]사번,소속,이름'!$A$1:$C$159,3,)</f>
        <v>유제열</v>
      </c>
      <c r="F82" s="5" t="s">
        <v>27</v>
      </c>
      <c r="H82" s="18" t="s">
        <v>27</v>
      </c>
      <c r="L82" s="18" t="str">
        <f>VLOOKUP($C82,[2]Sheet1!$A$2:$L$208,12,0)</f>
        <v>PKG파트</v>
      </c>
      <c r="M82" s="18" t="str">
        <f>VLOOKUP($C82,[2]Sheet1!$A$2:$L$208,2,0)</f>
        <v>유제열</v>
      </c>
      <c r="N82" s="18" t="str">
        <f>VLOOKUP($C82,[2]Sheet1!$A$2:$L$208,11,0)</f>
        <v>기술사무</v>
      </c>
      <c r="P82" s="18" t="str">
        <f>VLOOKUP($C82,[3]Sheet1!$A$2:$L$209,12,0)</f>
        <v>PKG파트</v>
      </c>
      <c r="Q82" s="18" t="str">
        <f>VLOOKUP($C82,[3]Sheet1!$A$2:$L$209,2,0)</f>
        <v>유제열</v>
      </c>
      <c r="R82" s="18" t="str">
        <f>VLOOKUP($C82,[3]Sheet1!$A$2:$L$209,11,0)</f>
        <v>기술사무</v>
      </c>
    </row>
    <row r="83" spans="1:18" x14ac:dyDescent="0.3">
      <c r="A83" s="4" t="s">
        <v>480</v>
      </c>
      <c r="B83" s="4" t="s">
        <v>689</v>
      </c>
      <c r="C83" s="5" t="s">
        <v>690</v>
      </c>
      <c r="D83" s="6" t="str">
        <f t="shared" si="1"/>
        <v>LEE/JEONG HO</v>
      </c>
      <c r="E83" s="6" t="str">
        <f>VLOOKUP(C83,'[1]사번,소속,이름'!$A$1:$C$159,3,)</f>
        <v>이정호</v>
      </c>
      <c r="F83" s="5" t="s">
        <v>33</v>
      </c>
      <c r="H83" s="18" t="s">
        <v>535</v>
      </c>
      <c r="L83" s="18" t="str">
        <f>VLOOKUP($C83,[2]Sheet1!$A$2:$L$208,12,0)</f>
        <v>Logic파트(1팀)</v>
      </c>
      <c r="M83" s="18" t="str">
        <f>VLOOKUP($C83,[2]Sheet1!$A$2:$L$208,2,0)</f>
        <v>이정호</v>
      </c>
      <c r="N83" s="18" t="str">
        <f>VLOOKUP($C83,[2]Sheet1!$A$2:$L$208,11,0)</f>
        <v>기술사무</v>
      </c>
      <c r="P83" s="18" t="str">
        <f>VLOOKUP($C83,[3]Sheet1!$A$2:$L$209,12,0)</f>
        <v>제품개발1파트</v>
      </c>
      <c r="Q83" s="18" t="str">
        <f>VLOOKUP($C83,[3]Sheet1!$A$2:$L$209,2,0)</f>
        <v>이정호</v>
      </c>
      <c r="R83" s="18" t="str">
        <f>VLOOKUP($C83,[3]Sheet1!$A$2:$L$209,11,0)</f>
        <v>기술사무</v>
      </c>
    </row>
    <row r="84" spans="1:18" x14ac:dyDescent="0.3">
      <c r="A84" s="4" t="s">
        <v>655</v>
      </c>
      <c r="B84" s="4" t="s">
        <v>691</v>
      </c>
      <c r="C84" s="5" t="s">
        <v>692</v>
      </c>
      <c r="D84" s="6" t="str">
        <f t="shared" si="1"/>
        <v>JUNG/KYUWOON</v>
      </c>
      <c r="E84" s="6" t="str">
        <f>VLOOKUP(C84,'[1]사번,소속,이름'!$A$1:$C$159,3,)</f>
        <v>정겨운</v>
      </c>
      <c r="F84" s="5" t="s">
        <v>9</v>
      </c>
      <c r="H84" s="18" t="s">
        <v>9</v>
      </c>
      <c r="L84" s="18" t="str">
        <f>VLOOKUP($C84,[2]Sheet1!$A$2:$L$208,12,0)</f>
        <v>영업팀</v>
      </c>
      <c r="M84" s="18" t="str">
        <f>VLOOKUP($C84,[2]Sheet1!$A$2:$L$208,2,0)</f>
        <v>정겨운</v>
      </c>
      <c r="N84" s="18" t="str">
        <f>VLOOKUP($C84,[2]Sheet1!$A$2:$L$208,11,0)</f>
        <v>기술사무</v>
      </c>
      <c r="P84" s="18" t="str">
        <f>VLOOKUP($C84,[3]Sheet1!$A$2:$L$209,12,0)</f>
        <v>영업팀</v>
      </c>
      <c r="Q84" s="18" t="str">
        <f>VLOOKUP($C84,[3]Sheet1!$A$2:$L$209,2,0)</f>
        <v>정겨운</v>
      </c>
      <c r="R84" s="18" t="str">
        <f>VLOOKUP($C84,[3]Sheet1!$A$2:$L$209,11,0)</f>
        <v>기술사무</v>
      </c>
    </row>
    <row r="85" spans="1:18" x14ac:dyDescent="0.3">
      <c r="A85" s="4" t="s">
        <v>667</v>
      </c>
      <c r="B85" s="4" t="s">
        <v>693</v>
      </c>
      <c r="C85" s="5" t="s">
        <v>694</v>
      </c>
      <c r="D85" s="6" t="str">
        <f t="shared" si="1"/>
        <v>LIM/NA YOUNG</v>
      </c>
      <c r="E85" s="6" t="str">
        <f>VLOOKUP(C85,'[1]사번,소속,이름'!$A$1:$C$159,3,)</f>
        <v>임나영</v>
      </c>
      <c r="F85" s="5" t="s">
        <v>578</v>
      </c>
      <c r="H85" s="18" t="s">
        <v>578</v>
      </c>
      <c r="L85" s="18" t="str">
        <f>VLOOKUP($C85,[2]Sheet1!$A$2:$L$208,12,0)</f>
        <v>피플팀</v>
      </c>
      <c r="M85" s="18" t="str">
        <f>VLOOKUP($C85,[2]Sheet1!$A$2:$L$208,2,0)</f>
        <v>임나영</v>
      </c>
      <c r="N85" s="18" t="str">
        <f>VLOOKUP($C85,[2]Sheet1!$A$2:$L$208,11,0)</f>
        <v>기술사무</v>
      </c>
      <c r="P85" s="18" t="str">
        <f>VLOOKUP($C85,[3]Sheet1!$A$2:$L$209,12,0)</f>
        <v>피플팀</v>
      </c>
      <c r="Q85" s="18" t="str">
        <f>VLOOKUP($C85,[3]Sheet1!$A$2:$L$209,2,0)</f>
        <v>임나영</v>
      </c>
      <c r="R85" s="18" t="str">
        <f>VLOOKUP($C85,[3]Sheet1!$A$2:$L$209,11,0)</f>
        <v>기술사무</v>
      </c>
    </row>
    <row r="86" spans="1:18" x14ac:dyDescent="0.3">
      <c r="A86" s="4" t="s">
        <v>521</v>
      </c>
      <c r="B86" s="4" t="s">
        <v>695</v>
      </c>
      <c r="C86" s="5" t="s">
        <v>696</v>
      </c>
      <c r="D86" s="6" t="str">
        <f t="shared" si="1"/>
        <v>KIM/KWANG SOO</v>
      </c>
      <c r="E86" s="6" t="str">
        <f>VLOOKUP(C86,'[1]사번,소속,이름'!$A$1:$C$159,3,)</f>
        <v>김광수</v>
      </c>
      <c r="F86" s="5" t="e">
        <v>#N/A</v>
      </c>
      <c r="H86" s="18" t="s">
        <v>697</v>
      </c>
      <c r="L86" s="18" t="str">
        <f>VLOOKUP($C86,[2]Sheet1!$A$2:$L$208,12,0)</f>
        <v>경영지원실</v>
      </c>
      <c r="M86" s="18" t="str">
        <f>VLOOKUP($C86,[2]Sheet1!$A$2:$L$208,2,0)</f>
        <v>김광수</v>
      </c>
      <c r="N86" s="18" t="str">
        <f>VLOOKUP($C86,[2]Sheet1!$A$2:$L$208,11,0)</f>
        <v>임원</v>
      </c>
      <c r="P86" s="18" t="e">
        <f>VLOOKUP($C86,[3]Sheet1!$A$2:$L$209,12,0)</f>
        <v>#N/A</v>
      </c>
      <c r="Q86" s="18" t="e">
        <f>VLOOKUP($C86,[3]Sheet1!$A$2:$L$209,2,0)</f>
        <v>#N/A</v>
      </c>
      <c r="R86" s="18" t="e">
        <f>VLOOKUP($C86,[3]Sheet1!$A$2:$L$209,11,0)</f>
        <v>#N/A</v>
      </c>
    </row>
    <row r="87" spans="1:18" x14ac:dyDescent="0.3">
      <c r="A87" s="4" t="s">
        <v>521</v>
      </c>
      <c r="B87" s="4" t="s">
        <v>698</v>
      </c>
      <c r="C87" s="5" t="s">
        <v>699</v>
      </c>
      <c r="D87" s="6" t="str">
        <f t="shared" si="1"/>
        <v>KIM/SUNG BEEN</v>
      </c>
      <c r="E87" s="6" t="str">
        <f>VLOOKUP(C87,'[1]사번,소속,이름'!$A$1:$C$159,3,)</f>
        <v>김성빈</v>
      </c>
      <c r="F87" s="5" t="e">
        <v>#N/A</v>
      </c>
      <c r="H87" s="18" t="s">
        <v>593</v>
      </c>
      <c r="L87" s="18" t="str">
        <f>VLOOKUP($C87,[2]Sheet1!$A$2:$L$208,12,0)</f>
        <v>Layout팀</v>
      </c>
      <c r="M87" s="18" t="str">
        <f>VLOOKUP($C87,[2]Sheet1!$A$2:$L$208,2,0)</f>
        <v>김성빈</v>
      </c>
      <c r="N87" s="18" t="str">
        <f>VLOOKUP($C87,[2]Sheet1!$A$2:$L$208,11,0)</f>
        <v>기술사무</v>
      </c>
      <c r="P87" s="18" t="e">
        <f>VLOOKUP($C87,[3]Sheet1!$A$2:$L$209,12,0)</f>
        <v>#N/A</v>
      </c>
      <c r="Q87" s="18" t="e">
        <f>VLOOKUP($C87,[3]Sheet1!$A$2:$L$209,2,0)</f>
        <v>#N/A</v>
      </c>
      <c r="R87" s="18" t="e">
        <f>VLOOKUP($C87,[3]Sheet1!$A$2:$L$209,11,0)</f>
        <v>#N/A</v>
      </c>
    </row>
    <row r="88" spans="1:18" x14ac:dyDescent="0.3">
      <c r="A88" s="4" t="s">
        <v>700</v>
      </c>
      <c r="B88" s="4" t="s">
        <v>701</v>
      </c>
      <c r="C88" s="5" t="s">
        <v>702</v>
      </c>
      <c r="D88" s="6" t="str">
        <f t="shared" si="1"/>
        <v>Shin/Hyun Jin</v>
      </c>
      <c r="E88" s="6" t="str">
        <f>VLOOKUP(C88,'[1]사번,소속,이름'!$A$1:$C$159,3,)</f>
        <v>신현진</v>
      </c>
      <c r="F88" s="5" t="s">
        <v>593</v>
      </c>
      <c r="H88" s="18" t="s">
        <v>593</v>
      </c>
      <c r="L88" s="18" t="str">
        <f>VLOOKUP($C88,[2]Sheet1!$A$2:$L$208,12,0)</f>
        <v>Layout팀</v>
      </c>
      <c r="M88" s="18" t="str">
        <f>VLOOKUP($C88,[2]Sheet1!$A$2:$L$208,2,0)</f>
        <v>신현진</v>
      </c>
      <c r="N88" s="18" t="str">
        <f>VLOOKUP($C88,[2]Sheet1!$A$2:$L$208,11,0)</f>
        <v>기술사무</v>
      </c>
      <c r="P88" s="18" t="str">
        <f>VLOOKUP($C88,[3]Sheet1!$A$2:$L$209,12,0)</f>
        <v>Layout팀</v>
      </c>
      <c r="Q88" s="18" t="str">
        <f>VLOOKUP($C88,[3]Sheet1!$A$2:$L$209,2,0)</f>
        <v>신현진</v>
      </c>
      <c r="R88" s="18" t="str">
        <f>VLOOKUP($C88,[3]Sheet1!$A$2:$L$209,11,0)</f>
        <v>기술사무</v>
      </c>
    </row>
    <row r="89" spans="1:18" x14ac:dyDescent="0.3">
      <c r="A89" s="4" t="s">
        <v>521</v>
      </c>
      <c r="B89" s="4" t="s">
        <v>703</v>
      </c>
      <c r="C89" s="5" t="s">
        <v>704</v>
      </c>
      <c r="D89" s="6" t="str">
        <f t="shared" si="1"/>
        <v>KIM/HEE JOON</v>
      </c>
      <c r="E89" s="6" t="str">
        <f>VLOOKUP(C89,'[1]사번,소속,이름'!$A$1:$C$159,3,)</f>
        <v>김희준</v>
      </c>
      <c r="F89" s="5" t="s">
        <v>41</v>
      </c>
      <c r="H89" s="18" t="s">
        <v>535</v>
      </c>
      <c r="L89" s="18" t="str">
        <f>VLOOKUP($C89,[2]Sheet1!$A$2:$L$208,12,0)</f>
        <v>Analog파트(1팀)</v>
      </c>
      <c r="M89" s="18" t="str">
        <f>VLOOKUP($C89,[2]Sheet1!$A$2:$L$208,2,0)</f>
        <v>김희준</v>
      </c>
      <c r="N89" s="18" t="str">
        <f>VLOOKUP($C89,[2]Sheet1!$A$2:$L$208,11,0)</f>
        <v>기술사무</v>
      </c>
      <c r="P89" s="18" t="str">
        <f>VLOOKUP($C89,[3]Sheet1!$A$2:$L$209,12,0)</f>
        <v>Analog1파트</v>
      </c>
      <c r="Q89" s="18" t="str">
        <f>VLOOKUP($C89,[3]Sheet1!$A$2:$L$209,2,0)</f>
        <v>김희준</v>
      </c>
      <c r="R89" s="18" t="str">
        <f>VLOOKUP($C89,[3]Sheet1!$A$2:$L$209,11,0)</f>
        <v>기술사무</v>
      </c>
    </row>
    <row r="90" spans="1:18" x14ac:dyDescent="0.3">
      <c r="A90" s="4" t="s">
        <v>480</v>
      </c>
      <c r="B90" s="4" t="s">
        <v>705</v>
      </c>
      <c r="C90" s="5" t="s">
        <v>706</v>
      </c>
      <c r="D90" s="6" t="str">
        <f t="shared" si="1"/>
        <v>LEE/JANG HYUN</v>
      </c>
      <c r="E90" s="6" t="str">
        <f>VLOOKUP(C90,'[1]사번,소속,이름'!$A$1:$C$159,3,)</f>
        <v>이장현</v>
      </c>
      <c r="F90" s="5" t="s">
        <v>17</v>
      </c>
      <c r="H90" s="18" t="s">
        <v>17</v>
      </c>
      <c r="L90" s="18" t="str">
        <f>VLOOKUP($C90,[2]Sheet1!$A$2:$L$208,12,0)</f>
        <v>전략구매파트</v>
      </c>
      <c r="M90" s="18" t="str">
        <f>VLOOKUP($C90,[2]Sheet1!$A$2:$L$208,2,0)</f>
        <v>이장현</v>
      </c>
      <c r="N90" s="18" t="str">
        <f>VLOOKUP($C90,[2]Sheet1!$A$2:$L$208,11,0)</f>
        <v>기술사무</v>
      </c>
      <c r="P90" s="18" t="str">
        <f>VLOOKUP($C90,[3]Sheet1!$A$2:$L$209,12,0)</f>
        <v>전략구매파트</v>
      </c>
      <c r="Q90" s="18" t="str">
        <f>VLOOKUP($C90,[3]Sheet1!$A$2:$L$209,2,0)</f>
        <v>이장현</v>
      </c>
      <c r="R90" s="18" t="str">
        <f>VLOOKUP($C90,[3]Sheet1!$A$2:$L$209,11,0)</f>
        <v>기술사무</v>
      </c>
    </row>
    <row r="91" spans="1:18" x14ac:dyDescent="0.3">
      <c r="A91" s="4" t="s">
        <v>707</v>
      </c>
      <c r="B91" s="4" t="s">
        <v>708</v>
      </c>
      <c r="C91" s="5" t="s">
        <v>709</v>
      </c>
      <c r="D91" s="6" t="str">
        <f t="shared" si="1"/>
        <v>YANG/WOO SUN</v>
      </c>
      <c r="E91" s="6" t="str">
        <f>VLOOKUP(C91,'[1]사번,소속,이름'!$A$1:$C$159,3,)</f>
        <v>양우선</v>
      </c>
      <c r="F91" s="5" t="s">
        <v>37</v>
      </c>
      <c r="H91" s="18" t="s">
        <v>535</v>
      </c>
      <c r="L91" s="18" t="str">
        <f>VLOOKUP($C91,[2]Sheet1!$A$2:$L$208,12,0)</f>
        <v>Logic파트(1팀)</v>
      </c>
      <c r="M91" s="18" t="str">
        <f>VLOOKUP($C91,[2]Sheet1!$A$2:$L$208,2,0)</f>
        <v>양우선</v>
      </c>
      <c r="N91" s="18" t="str">
        <f>VLOOKUP($C91,[2]Sheet1!$A$2:$L$208,11,0)</f>
        <v>기술사무</v>
      </c>
      <c r="P91" s="18" t="str">
        <f>VLOOKUP($C91,[3]Sheet1!$A$2:$L$209,12,0)</f>
        <v>Logic파트</v>
      </c>
      <c r="Q91" s="18" t="str">
        <f>VLOOKUP($C91,[3]Sheet1!$A$2:$L$209,2,0)</f>
        <v>양우선</v>
      </c>
      <c r="R91" s="18" t="str">
        <f>VLOOKUP($C91,[3]Sheet1!$A$2:$L$209,11,0)</f>
        <v>기술사무</v>
      </c>
    </row>
    <row r="92" spans="1:18" x14ac:dyDescent="0.3">
      <c r="A92" s="4" t="s">
        <v>710</v>
      </c>
      <c r="B92" s="4" t="s">
        <v>711</v>
      </c>
      <c r="C92" s="5" t="s">
        <v>712</v>
      </c>
      <c r="D92" s="6" t="str">
        <f t="shared" si="1"/>
        <v>KYOUNG/MYEONG GEUN</v>
      </c>
      <c r="E92" s="6" t="str">
        <f>VLOOKUP(C92,'[1]사번,소속,이름'!$A$1:$C$159,3,)</f>
        <v>경명근</v>
      </c>
      <c r="F92" s="5" t="s">
        <v>593</v>
      </c>
      <c r="H92" s="18" t="s">
        <v>593</v>
      </c>
      <c r="L92" s="18" t="str">
        <f>VLOOKUP($C92,[2]Sheet1!$A$2:$L$208,12,0)</f>
        <v>Layout팀</v>
      </c>
      <c r="M92" s="18" t="str">
        <f>VLOOKUP($C92,[2]Sheet1!$A$2:$L$208,2,0)</f>
        <v>경명근</v>
      </c>
      <c r="N92" s="18" t="str">
        <f>VLOOKUP($C92,[2]Sheet1!$A$2:$L$208,11,0)</f>
        <v>기술사무</v>
      </c>
      <c r="P92" s="18" t="str">
        <f>VLOOKUP($C92,[3]Sheet1!$A$2:$L$209,12,0)</f>
        <v>Layout팀</v>
      </c>
      <c r="Q92" s="18" t="str">
        <f>VLOOKUP($C92,[3]Sheet1!$A$2:$L$209,2,0)</f>
        <v>경명근</v>
      </c>
      <c r="R92" s="18" t="str">
        <f>VLOOKUP($C92,[3]Sheet1!$A$2:$L$209,11,0)</f>
        <v>기술사무</v>
      </c>
    </row>
    <row r="93" spans="1:18" x14ac:dyDescent="0.3">
      <c r="A93" s="4" t="s">
        <v>521</v>
      </c>
      <c r="B93" s="4" t="s">
        <v>713</v>
      </c>
      <c r="C93" s="5" t="s">
        <v>714</v>
      </c>
      <c r="D93" s="6" t="str">
        <f t="shared" si="1"/>
        <v>KIM/SOOMIN</v>
      </c>
      <c r="E93" s="6" t="str">
        <f>VLOOKUP(C93,'[1]사번,소속,이름'!$A$1:$C$159,3,)</f>
        <v>김수민</v>
      </c>
      <c r="F93" s="5" t="s">
        <v>552</v>
      </c>
      <c r="H93" s="18" t="s">
        <v>552</v>
      </c>
      <c r="L93" s="18" t="str">
        <f>VLOOKUP($C93,[2]Sheet1!$A$2:$L$208,12,0)</f>
        <v>재무관리팀</v>
      </c>
      <c r="M93" s="18" t="str">
        <f>VLOOKUP($C93,[2]Sheet1!$A$2:$L$208,2,0)</f>
        <v>김수민</v>
      </c>
      <c r="N93" s="18" t="str">
        <f>VLOOKUP($C93,[2]Sheet1!$A$2:$L$208,11,0)</f>
        <v>기술사무</v>
      </c>
      <c r="P93" s="18" t="str">
        <f>VLOOKUP($C93,[3]Sheet1!$A$2:$L$209,12,0)</f>
        <v>재무관리팀</v>
      </c>
      <c r="Q93" s="18" t="str">
        <f>VLOOKUP($C93,[3]Sheet1!$A$2:$L$209,2,0)</f>
        <v>김수민</v>
      </c>
      <c r="R93" s="18" t="str">
        <f>VLOOKUP($C93,[3]Sheet1!$A$2:$L$209,11,0)</f>
        <v>기술사무</v>
      </c>
    </row>
    <row r="94" spans="1:18" x14ac:dyDescent="0.3">
      <c r="A94" s="4" t="s">
        <v>505</v>
      </c>
      <c r="B94" s="4" t="s">
        <v>715</v>
      </c>
      <c r="C94" s="5" t="s">
        <v>716</v>
      </c>
      <c r="D94" s="6" t="str">
        <f t="shared" si="1"/>
        <v>KWON/SUNGJYE</v>
      </c>
      <c r="E94" s="6" t="str">
        <f>VLOOKUP(C94,'[1]사번,소속,이름'!$A$1:$C$159,3,)</f>
        <v>권성재</v>
      </c>
      <c r="F94" s="5" t="s">
        <v>552</v>
      </c>
      <c r="H94" s="18" t="s">
        <v>552</v>
      </c>
      <c r="L94" s="18" t="str">
        <f>VLOOKUP($C94,[2]Sheet1!$A$2:$L$208,12,0)</f>
        <v>재무관리팀</v>
      </c>
      <c r="M94" s="18" t="str">
        <f>VLOOKUP($C94,[2]Sheet1!$A$2:$L$208,2,0)</f>
        <v>권성재</v>
      </c>
      <c r="N94" s="18" t="str">
        <f>VLOOKUP($C94,[2]Sheet1!$A$2:$L$208,11,0)</f>
        <v>기술사무</v>
      </c>
      <c r="P94" s="18" t="str">
        <f>VLOOKUP($C94,[3]Sheet1!$A$2:$L$209,12,0)</f>
        <v>재무관리팀</v>
      </c>
      <c r="Q94" s="18" t="str">
        <f>VLOOKUP($C94,[3]Sheet1!$A$2:$L$209,2,0)</f>
        <v>권성재</v>
      </c>
      <c r="R94" s="18" t="str">
        <f>VLOOKUP($C94,[3]Sheet1!$A$2:$L$209,11,0)</f>
        <v>기술사무</v>
      </c>
    </row>
    <row r="95" spans="1:18" x14ac:dyDescent="0.3">
      <c r="A95" s="4" t="s">
        <v>717</v>
      </c>
      <c r="B95" s="4" t="s">
        <v>718</v>
      </c>
      <c r="C95" s="5" t="s">
        <v>719</v>
      </c>
      <c r="D95" s="6" t="str">
        <f t="shared" si="1"/>
        <v>SHIN/CHANGHEE</v>
      </c>
      <c r="E95" s="6" t="str">
        <f>VLOOKUP(C95,'[1]사번,소속,이름'!$A$1:$C$159,3,)</f>
        <v>신창희</v>
      </c>
      <c r="F95" s="5" t="e">
        <v>#N/A</v>
      </c>
      <c r="H95" s="18" t="s">
        <v>720</v>
      </c>
      <c r="L95" s="18" t="str">
        <f>VLOOKUP($C95,[2]Sheet1!$A$2:$L$208,12,0)</f>
        <v>DDI개발2팀</v>
      </c>
      <c r="M95" s="18" t="str">
        <f>VLOOKUP($C95,[2]Sheet1!$A$2:$L$208,2,0)</f>
        <v>신창희</v>
      </c>
      <c r="N95" s="18" t="str">
        <f>VLOOKUP($C95,[2]Sheet1!$A$2:$L$208,11,0)</f>
        <v>임원</v>
      </c>
      <c r="P95" s="18" t="e">
        <f>VLOOKUP($C95,[3]Sheet1!$A$2:$L$209,12,0)</f>
        <v>#N/A</v>
      </c>
      <c r="Q95" s="18" t="e">
        <f>VLOOKUP($C95,[3]Sheet1!$A$2:$L$209,2,0)</f>
        <v>#N/A</v>
      </c>
      <c r="R95" s="18" t="e">
        <f>VLOOKUP($C95,[3]Sheet1!$A$2:$L$209,11,0)</f>
        <v>#N/A</v>
      </c>
    </row>
    <row r="96" spans="1:18" x14ac:dyDescent="0.3">
      <c r="A96" s="4" t="s">
        <v>721</v>
      </c>
      <c r="B96" s="4" t="s">
        <v>722</v>
      </c>
      <c r="C96" s="5" t="s">
        <v>723</v>
      </c>
      <c r="D96" s="6" t="str">
        <f t="shared" si="1"/>
        <v>WANG/DAN</v>
      </c>
      <c r="E96" s="6" t="str">
        <f>VLOOKUP(C96,'[1]사번,소속,이름'!$A$1:$C$159,3,)</f>
        <v>왕단</v>
      </c>
      <c r="F96" s="5" t="s">
        <v>21</v>
      </c>
      <c r="H96" s="18" t="s">
        <v>21</v>
      </c>
      <c r="L96" s="18" t="str">
        <f>VLOOKUP($C96,[2]Sheet1!$A$2:$L$208,12,0)</f>
        <v>품질팀</v>
      </c>
      <c r="M96" s="18" t="str">
        <f>VLOOKUP($C96,[2]Sheet1!$A$2:$L$208,2,0)</f>
        <v>왕단</v>
      </c>
      <c r="N96" s="18" t="str">
        <f>VLOOKUP($C96,[2]Sheet1!$A$2:$L$208,11,0)</f>
        <v>기술사무</v>
      </c>
      <c r="P96" s="18" t="str">
        <f>VLOOKUP($C96,[3]Sheet1!$A$2:$L$209,12,0)</f>
        <v>품질팀</v>
      </c>
      <c r="Q96" s="18" t="str">
        <f>VLOOKUP($C96,[3]Sheet1!$A$2:$L$209,2,0)</f>
        <v>왕단</v>
      </c>
      <c r="R96" s="18" t="str">
        <f>VLOOKUP($C96,[3]Sheet1!$A$2:$L$209,11,0)</f>
        <v>기술사무</v>
      </c>
    </row>
    <row r="97" spans="1:18" x14ac:dyDescent="0.3">
      <c r="A97" s="4" t="s">
        <v>493</v>
      </c>
      <c r="B97" s="4" t="s">
        <v>724</v>
      </c>
      <c r="C97" s="5" t="s">
        <v>725</v>
      </c>
      <c r="D97" s="6" t="str">
        <f t="shared" si="1"/>
        <v>CHOI/MIN</v>
      </c>
      <c r="E97" s="6" t="str">
        <f>VLOOKUP(C97,'[1]사번,소속,이름'!$A$1:$C$159,3,)</f>
        <v>최민</v>
      </c>
      <c r="F97" s="5" t="s">
        <v>593</v>
      </c>
      <c r="H97" s="18" t="s">
        <v>593</v>
      </c>
      <c r="L97" s="18" t="str">
        <f>VLOOKUP($C97,[2]Sheet1!$A$2:$L$208,12,0)</f>
        <v>Layout팀</v>
      </c>
      <c r="M97" s="18" t="str">
        <f>VLOOKUP($C97,[2]Sheet1!$A$2:$L$208,2,0)</f>
        <v>최민</v>
      </c>
      <c r="N97" s="18" t="str">
        <f>VLOOKUP($C97,[2]Sheet1!$A$2:$L$208,11,0)</f>
        <v>기술사무</v>
      </c>
      <c r="P97" s="18" t="str">
        <f>VLOOKUP($C97,[3]Sheet1!$A$2:$L$209,12,0)</f>
        <v>Layout팀</v>
      </c>
      <c r="Q97" s="18" t="str">
        <f>VLOOKUP($C97,[3]Sheet1!$A$2:$L$209,2,0)</f>
        <v>최민</v>
      </c>
      <c r="R97" s="18" t="str">
        <f>VLOOKUP($C97,[3]Sheet1!$A$2:$L$209,11,0)</f>
        <v>기술사무</v>
      </c>
    </row>
    <row r="98" spans="1:18" x14ac:dyDescent="0.3">
      <c r="A98" s="4" t="s">
        <v>726</v>
      </c>
      <c r="B98" s="4" t="s">
        <v>717</v>
      </c>
      <c r="C98" s="5" t="s">
        <v>727</v>
      </c>
      <c r="D98" s="6" t="str">
        <f t="shared" si="1"/>
        <v>YOON/SHIN</v>
      </c>
      <c r="E98" s="6" t="str">
        <f>VLOOKUP(C98,'[1]사번,소속,이름'!$A$1:$C$159,3,)</f>
        <v>윤신</v>
      </c>
      <c r="F98" s="5" t="s">
        <v>37</v>
      </c>
      <c r="H98" s="18" t="s">
        <v>540</v>
      </c>
      <c r="L98" s="18" t="str">
        <f>VLOOKUP($C98,[2]Sheet1!$A$2:$L$208,12,0)</f>
        <v>Logic파트(2팀)</v>
      </c>
      <c r="M98" s="18" t="str">
        <f>VLOOKUP($C98,[2]Sheet1!$A$2:$L$208,2,0)</f>
        <v>윤신</v>
      </c>
      <c r="N98" s="18" t="str">
        <f>VLOOKUP($C98,[2]Sheet1!$A$2:$L$208,11,0)</f>
        <v>기술사무</v>
      </c>
      <c r="P98" s="18" t="str">
        <f>VLOOKUP($C98,[3]Sheet1!$A$2:$L$209,12,0)</f>
        <v>Logic파트</v>
      </c>
      <c r="Q98" s="18" t="str">
        <f>VLOOKUP($C98,[3]Sheet1!$A$2:$L$209,2,0)</f>
        <v>윤신</v>
      </c>
      <c r="R98" s="18" t="str">
        <f>VLOOKUP($C98,[3]Sheet1!$A$2:$L$209,11,0)</f>
        <v>기술사무</v>
      </c>
    </row>
    <row r="99" spans="1:18" x14ac:dyDescent="0.3">
      <c r="A99" s="4" t="s">
        <v>521</v>
      </c>
      <c r="B99" s="4" t="s">
        <v>728</v>
      </c>
      <c r="C99" s="5" t="s">
        <v>729</v>
      </c>
      <c r="D99" s="6" t="str">
        <f t="shared" si="1"/>
        <v>KIM/DO HYUN</v>
      </c>
      <c r="E99" s="6" t="str">
        <f>VLOOKUP(C99,'[1]사번,소속,이름'!$A$1:$C$159,3,)</f>
        <v>김도현</v>
      </c>
      <c r="F99" s="5" t="s">
        <v>593</v>
      </c>
      <c r="H99" s="18" t="s">
        <v>593</v>
      </c>
      <c r="L99" s="18" t="str">
        <f>VLOOKUP($C99,[2]Sheet1!$A$2:$L$208,12,0)</f>
        <v>Layout팀</v>
      </c>
      <c r="M99" s="18" t="str">
        <f>VLOOKUP($C99,[2]Sheet1!$A$2:$L$208,2,0)</f>
        <v>김도현</v>
      </c>
      <c r="N99" s="18" t="str">
        <f>VLOOKUP($C99,[2]Sheet1!$A$2:$L$208,11,0)</f>
        <v>기술사무</v>
      </c>
      <c r="P99" s="18" t="str">
        <f>VLOOKUP($C99,[3]Sheet1!$A$2:$L$209,12,0)</f>
        <v>Layout팀</v>
      </c>
      <c r="Q99" s="18" t="str">
        <f>VLOOKUP($C99,[3]Sheet1!$A$2:$L$209,2,0)</f>
        <v>김도현</v>
      </c>
      <c r="R99" s="18" t="str">
        <f>VLOOKUP($C99,[3]Sheet1!$A$2:$L$209,11,0)</f>
        <v>기술사무</v>
      </c>
    </row>
    <row r="100" spans="1:18" x14ac:dyDescent="0.3">
      <c r="A100" s="4" t="s">
        <v>730</v>
      </c>
      <c r="B100" s="4" t="s">
        <v>731</v>
      </c>
      <c r="C100" s="5" t="s">
        <v>732</v>
      </c>
      <c r="D100" s="6" t="str">
        <f t="shared" si="1"/>
        <v>CHEONG/JUNG YEON</v>
      </c>
      <c r="E100" s="6" t="str">
        <f>VLOOKUP(C100,'[1]사번,소속,이름'!$A$1:$C$159,3,)</f>
        <v>정중연</v>
      </c>
      <c r="F100" s="5" t="s">
        <v>25</v>
      </c>
      <c r="H100" s="18" t="s">
        <v>25</v>
      </c>
      <c r="L100" s="18" t="str">
        <f>VLOOKUP($C100,[2]Sheet1!$A$2:$L$208,12,0)</f>
        <v>Test팀</v>
      </c>
      <c r="M100" s="18" t="str">
        <f>VLOOKUP($C100,[2]Sheet1!$A$2:$L$208,2,0)</f>
        <v>정중연</v>
      </c>
      <c r="N100" s="18" t="str">
        <f>VLOOKUP($C100,[2]Sheet1!$A$2:$L$208,11,0)</f>
        <v>기술사무</v>
      </c>
      <c r="P100" s="18" t="str">
        <f>VLOOKUP($C100,[3]Sheet1!$A$2:$L$209,12,0)</f>
        <v>Test팀</v>
      </c>
      <c r="Q100" s="18" t="str">
        <f>VLOOKUP($C100,[3]Sheet1!$A$2:$L$209,2,0)</f>
        <v>정중연</v>
      </c>
      <c r="R100" s="18" t="str">
        <f>VLOOKUP($C100,[3]Sheet1!$A$2:$L$209,11,0)</f>
        <v>기술사무</v>
      </c>
    </row>
    <row r="101" spans="1:18" x14ac:dyDescent="0.3">
      <c r="A101" s="4" t="s">
        <v>567</v>
      </c>
      <c r="B101" s="4" t="s">
        <v>733</v>
      </c>
      <c r="C101" s="5" t="s">
        <v>734</v>
      </c>
      <c r="D101" s="6" t="str">
        <f t="shared" si="1"/>
        <v>CHO/MIN JUN</v>
      </c>
      <c r="E101" s="6" t="str">
        <f>VLOOKUP(C101,'[1]사번,소속,이름'!$A$1:$C$159,3,)</f>
        <v>조민준</v>
      </c>
      <c r="F101" s="5" t="s">
        <v>43</v>
      </c>
      <c r="H101" s="18" t="s">
        <v>535</v>
      </c>
      <c r="L101" s="18" t="str">
        <f>VLOOKUP($C101,[2]Sheet1!$A$2:$L$208,12,0)</f>
        <v>Interface파트(1팀)</v>
      </c>
      <c r="M101" s="18" t="str">
        <f>VLOOKUP($C101,[2]Sheet1!$A$2:$L$208,2,0)</f>
        <v>조민준</v>
      </c>
      <c r="N101" s="18" t="str">
        <f>VLOOKUP($C101,[2]Sheet1!$A$2:$L$208,11,0)</f>
        <v>기술사무</v>
      </c>
      <c r="P101" s="18" t="str">
        <f>VLOOKUP($C101,[3]Sheet1!$A$2:$L$209,12,0)</f>
        <v>Interface파트</v>
      </c>
      <c r="Q101" s="18" t="str">
        <f>VLOOKUP($C101,[3]Sheet1!$A$2:$L$209,2,0)</f>
        <v>조민준</v>
      </c>
      <c r="R101" s="18" t="str">
        <f>VLOOKUP($C101,[3]Sheet1!$A$2:$L$209,11,0)</f>
        <v>기술사무</v>
      </c>
    </row>
    <row r="102" spans="1:18" x14ac:dyDescent="0.3">
      <c r="A102" s="4" t="s">
        <v>480</v>
      </c>
      <c r="B102" s="4" t="s">
        <v>735</v>
      </c>
      <c r="C102" s="5" t="s">
        <v>736</v>
      </c>
      <c r="D102" s="6" t="str">
        <f t="shared" si="1"/>
        <v>LEE/SEUNG MIN</v>
      </c>
      <c r="E102" s="6" t="str">
        <f>VLOOKUP(C102,'[1]사번,소속,이름'!$A$1:$C$159,3,)</f>
        <v>이승민</v>
      </c>
      <c r="F102" s="5" t="s">
        <v>38</v>
      </c>
      <c r="H102" s="18" t="s">
        <v>540</v>
      </c>
      <c r="L102" s="18" t="str">
        <f>VLOOKUP($C102,[2]Sheet1!$A$2:$L$208,12,0)</f>
        <v>Digital IP파트(2팀)</v>
      </c>
      <c r="M102" s="18" t="str">
        <f>VLOOKUP($C102,[2]Sheet1!$A$2:$L$208,2,0)</f>
        <v>이승민</v>
      </c>
      <c r="N102" s="18" t="str">
        <f>VLOOKUP($C102,[2]Sheet1!$A$2:$L$208,11,0)</f>
        <v>기술사무</v>
      </c>
      <c r="P102" s="18" t="str">
        <f>VLOOKUP($C102,[3]Sheet1!$A$2:$L$209,12,0)</f>
        <v>Digital IP파트</v>
      </c>
      <c r="Q102" s="18" t="str">
        <f>VLOOKUP($C102,[3]Sheet1!$A$2:$L$209,2,0)</f>
        <v>이승민</v>
      </c>
      <c r="R102" s="18" t="str">
        <f>VLOOKUP($C102,[3]Sheet1!$A$2:$L$209,11,0)</f>
        <v>기술사무</v>
      </c>
    </row>
    <row r="103" spans="1:18" x14ac:dyDescent="0.3">
      <c r="A103" s="4" t="s">
        <v>637</v>
      </c>
      <c r="B103" s="4" t="s">
        <v>737</v>
      </c>
      <c r="C103" s="5" t="s">
        <v>738</v>
      </c>
      <c r="D103" s="6" t="str">
        <f t="shared" si="1"/>
        <v>YU/GI UNG</v>
      </c>
      <c r="E103" s="6" t="str">
        <f>VLOOKUP(C103,'[1]사번,소속,이름'!$A$1:$C$159,3,)</f>
        <v>유기웅</v>
      </c>
      <c r="F103" s="5" t="e">
        <v>#N/A</v>
      </c>
      <c r="H103" s="18" t="s">
        <v>23</v>
      </c>
      <c r="L103" s="18" t="str">
        <f>VLOOKUP($C103,[2]Sheet1!$A$2:$L$208,12,0)</f>
        <v>제품기술팀</v>
      </c>
      <c r="M103" s="18" t="str">
        <f>VLOOKUP($C103,[2]Sheet1!$A$2:$L$208,2,0)</f>
        <v>유기웅</v>
      </c>
      <c r="N103" s="18" t="str">
        <f>VLOOKUP($C103,[2]Sheet1!$A$2:$L$208,11,0)</f>
        <v>기술사무</v>
      </c>
      <c r="P103" s="18" t="e">
        <f>VLOOKUP($C103,[3]Sheet1!$A$2:$L$209,12,0)</f>
        <v>#N/A</v>
      </c>
      <c r="Q103" s="18" t="e">
        <f>VLOOKUP($C103,[3]Sheet1!$A$2:$L$209,2,0)</f>
        <v>#N/A</v>
      </c>
      <c r="R103" s="18" t="e">
        <f>VLOOKUP($C103,[3]Sheet1!$A$2:$L$209,11,0)</f>
        <v>#N/A</v>
      </c>
    </row>
    <row r="104" spans="1:18" x14ac:dyDescent="0.3">
      <c r="A104" s="4" t="s">
        <v>480</v>
      </c>
      <c r="B104" s="4" t="s">
        <v>739</v>
      </c>
      <c r="C104" s="5" t="s">
        <v>740</v>
      </c>
      <c r="D104" s="6" t="str">
        <f t="shared" si="1"/>
        <v>LEE/SANGTAE</v>
      </c>
      <c r="E104" s="6" t="str">
        <f>VLOOKUP(C104,'[1]사번,소속,이름'!$A$1:$C$159,3,)</f>
        <v>이상태</v>
      </c>
      <c r="F104" s="5" t="s">
        <v>9</v>
      </c>
      <c r="H104" s="18" t="s">
        <v>9</v>
      </c>
      <c r="L104" s="18" t="str">
        <f>VLOOKUP($C104,[2]Sheet1!$A$2:$L$208,12,0)</f>
        <v>영업팀</v>
      </c>
      <c r="M104" s="18" t="str">
        <f>VLOOKUP($C104,[2]Sheet1!$A$2:$L$208,2,0)</f>
        <v>이상태</v>
      </c>
      <c r="N104" s="18" t="str">
        <f>VLOOKUP($C104,[2]Sheet1!$A$2:$L$208,11,0)</f>
        <v>기술사무</v>
      </c>
      <c r="P104" s="18" t="str">
        <f>VLOOKUP($C104,[3]Sheet1!$A$2:$L$209,12,0)</f>
        <v>영업팀</v>
      </c>
      <c r="Q104" s="18" t="str">
        <f>VLOOKUP($C104,[3]Sheet1!$A$2:$L$209,2,0)</f>
        <v>이상태</v>
      </c>
      <c r="R104" s="18" t="str">
        <f>VLOOKUP($C104,[3]Sheet1!$A$2:$L$209,11,0)</f>
        <v>기술사무</v>
      </c>
    </row>
    <row r="105" spans="1:18" x14ac:dyDescent="0.3">
      <c r="A105" s="4" t="s">
        <v>741</v>
      </c>
      <c r="B105" s="4" t="s">
        <v>742</v>
      </c>
      <c r="C105" s="5" t="s">
        <v>743</v>
      </c>
      <c r="D105" s="6" t="str">
        <f t="shared" si="1"/>
        <v>CHEON/SEUNG WOO</v>
      </c>
      <c r="E105" s="6" t="str">
        <f>VLOOKUP(C105,'[1]사번,소속,이름'!$A$1:$C$159,3,)</f>
        <v>천승우</v>
      </c>
      <c r="F105" s="5" t="s">
        <v>593</v>
      </c>
      <c r="H105" s="18" t="s">
        <v>593</v>
      </c>
      <c r="L105" s="18" t="str">
        <f>VLOOKUP($C105,[2]Sheet1!$A$2:$L$208,12,0)</f>
        <v>Layout팀</v>
      </c>
      <c r="M105" s="18" t="str">
        <f>VLOOKUP($C105,[2]Sheet1!$A$2:$L$208,2,0)</f>
        <v>천승우</v>
      </c>
      <c r="N105" s="18" t="str">
        <f>VLOOKUP($C105,[2]Sheet1!$A$2:$L$208,11,0)</f>
        <v>기술사무</v>
      </c>
      <c r="P105" s="18" t="str">
        <f>VLOOKUP($C105,[3]Sheet1!$A$2:$L$209,12,0)</f>
        <v>Layout팀</v>
      </c>
      <c r="Q105" s="18" t="str">
        <f>VLOOKUP($C105,[3]Sheet1!$A$2:$L$209,2,0)</f>
        <v>천승우</v>
      </c>
      <c r="R105" s="18" t="str">
        <f>VLOOKUP($C105,[3]Sheet1!$A$2:$L$209,11,0)</f>
        <v>기술사무</v>
      </c>
    </row>
    <row r="106" spans="1:18" x14ac:dyDescent="0.3">
      <c r="A106" s="4" t="s">
        <v>677</v>
      </c>
      <c r="B106" s="4" t="s">
        <v>744</v>
      </c>
      <c r="C106" s="5" t="s">
        <v>745</v>
      </c>
      <c r="D106" s="6" t="str">
        <f t="shared" si="1"/>
        <v>BYEON/AH REUM</v>
      </c>
      <c r="E106" s="6" t="str">
        <f>VLOOKUP(C106,'[1]사번,소속,이름'!$A$1:$C$159,3,)</f>
        <v>변아름</v>
      </c>
      <c r="F106" s="5" t="s">
        <v>593</v>
      </c>
      <c r="H106" s="18" t="s">
        <v>593</v>
      </c>
      <c r="L106" s="18" t="str">
        <f>VLOOKUP($C106,[2]Sheet1!$A$2:$L$208,12,0)</f>
        <v>Layout팀</v>
      </c>
      <c r="M106" s="18" t="str">
        <f>VLOOKUP($C106,[2]Sheet1!$A$2:$L$208,2,0)</f>
        <v>변아름</v>
      </c>
      <c r="N106" s="18" t="str">
        <f>VLOOKUP($C106,[2]Sheet1!$A$2:$L$208,11,0)</f>
        <v>기술사무</v>
      </c>
      <c r="P106" s="18" t="str">
        <f>VLOOKUP($C106,[3]Sheet1!$A$2:$L$209,12,0)</f>
        <v>Layout팀</v>
      </c>
      <c r="Q106" s="18" t="str">
        <f>VLOOKUP($C106,[3]Sheet1!$A$2:$L$209,2,0)</f>
        <v>변아름</v>
      </c>
      <c r="R106" s="18" t="str">
        <f>VLOOKUP($C106,[3]Sheet1!$A$2:$L$209,11,0)</f>
        <v>기술사무</v>
      </c>
    </row>
    <row r="107" spans="1:18" x14ac:dyDescent="0.3">
      <c r="A107" s="4" t="s">
        <v>746</v>
      </c>
      <c r="B107" s="4" t="s">
        <v>747</v>
      </c>
      <c r="C107" s="5" t="s">
        <v>748</v>
      </c>
      <c r="D107" s="6" t="str">
        <f t="shared" si="1"/>
        <v>IN/BYUNG HWA</v>
      </c>
      <c r="E107" s="6" t="str">
        <f>VLOOKUP(C107,'[1]사번,소속,이름'!$A$1:$C$159,3,)</f>
        <v>인병화</v>
      </c>
      <c r="F107" s="5" t="s">
        <v>41</v>
      </c>
      <c r="H107" s="18" t="s">
        <v>535</v>
      </c>
      <c r="L107" s="18" t="str">
        <f>VLOOKUP($C107,[2]Sheet1!$A$2:$L$208,12,0)</f>
        <v>Analog파트(1팀)</v>
      </c>
      <c r="M107" s="18" t="str">
        <f>VLOOKUP($C107,[2]Sheet1!$A$2:$L$208,2,0)</f>
        <v>인병화</v>
      </c>
      <c r="N107" s="18" t="str">
        <f>VLOOKUP($C107,[2]Sheet1!$A$2:$L$208,11,0)</f>
        <v>기술사무</v>
      </c>
      <c r="P107" s="18" t="str">
        <f>VLOOKUP($C107,[3]Sheet1!$A$2:$L$209,12,0)</f>
        <v>Analog1파트</v>
      </c>
      <c r="Q107" s="18" t="str">
        <f>VLOOKUP($C107,[3]Sheet1!$A$2:$L$209,2,0)</f>
        <v>인병화</v>
      </c>
      <c r="R107" s="18" t="str">
        <f>VLOOKUP($C107,[3]Sheet1!$A$2:$L$209,11,0)</f>
        <v>기술사무</v>
      </c>
    </row>
    <row r="108" spans="1:18" x14ac:dyDescent="0.3">
      <c r="A108" s="4" t="s">
        <v>497</v>
      </c>
      <c r="B108" s="4" t="s">
        <v>749</v>
      </c>
      <c r="C108" s="5" t="s">
        <v>750</v>
      </c>
      <c r="D108" s="6" t="str">
        <f t="shared" si="1"/>
        <v>PARK/JONG HUN</v>
      </c>
      <c r="E108" s="6" t="str">
        <f>VLOOKUP(C108,'[1]사번,소속,이름'!$A$1:$C$159,3,)</f>
        <v>박종훈</v>
      </c>
      <c r="F108" s="5" t="s">
        <v>38</v>
      </c>
      <c r="H108" s="18" t="s">
        <v>540</v>
      </c>
      <c r="L108" s="18" t="str">
        <f>VLOOKUP($C108,[2]Sheet1!$A$2:$L$208,12,0)</f>
        <v>Logic파트(2팀)</v>
      </c>
      <c r="M108" s="18" t="str">
        <f>VLOOKUP($C108,[2]Sheet1!$A$2:$L$208,2,0)</f>
        <v>박종훈</v>
      </c>
      <c r="N108" s="18" t="str">
        <f>VLOOKUP($C108,[2]Sheet1!$A$2:$L$208,11,0)</f>
        <v>기술사무</v>
      </c>
      <c r="P108" s="18" t="str">
        <f>VLOOKUP($C108,[3]Sheet1!$A$2:$L$209,12,0)</f>
        <v>Digital IP파트</v>
      </c>
      <c r="Q108" s="18" t="str">
        <f>VLOOKUP($C108,[3]Sheet1!$A$2:$L$209,2,0)</f>
        <v>박종훈</v>
      </c>
      <c r="R108" s="18" t="str">
        <f>VLOOKUP($C108,[3]Sheet1!$A$2:$L$209,11,0)</f>
        <v>기술사무</v>
      </c>
    </row>
    <row r="109" spans="1:18" x14ac:dyDescent="0.3">
      <c r="A109" s="4" t="s">
        <v>521</v>
      </c>
      <c r="B109" s="4" t="s">
        <v>751</v>
      </c>
      <c r="C109" s="5" t="s">
        <v>752</v>
      </c>
      <c r="D109" s="6" t="str">
        <f t="shared" si="1"/>
        <v>KIM/SEUNG JOONG</v>
      </c>
      <c r="E109" s="6" t="str">
        <f>VLOOKUP(C109,'[1]사번,소속,이름'!$A$1:$C$159,3,)</f>
        <v>김승중</v>
      </c>
      <c r="F109" s="5" t="s">
        <v>578</v>
      </c>
      <c r="H109" s="18" t="s">
        <v>578</v>
      </c>
      <c r="L109" s="18" t="str">
        <f>VLOOKUP($C109,[2]Sheet1!$A$2:$L$208,12,0)</f>
        <v>피플팀</v>
      </c>
      <c r="M109" s="18" t="str">
        <f>VLOOKUP($C109,[2]Sheet1!$A$2:$L$208,2,0)</f>
        <v>김승중</v>
      </c>
      <c r="N109" s="18" t="str">
        <f>VLOOKUP($C109,[2]Sheet1!$A$2:$L$208,11,0)</f>
        <v>기술사무</v>
      </c>
      <c r="P109" s="18" t="str">
        <f>VLOOKUP($C109,[3]Sheet1!$A$2:$L$209,12,0)</f>
        <v>피플팀</v>
      </c>
      <c r="Q109" s="18" t="str">
        <f>VLOOKUP($C109,[3]Sheet1!$A$2:$L$209,2,0)</f>
        <v>김승중</v>
      </c>
      <c r="R109" s="18" t="str">
        <f>VLOOKUP($C109,[3]Sheet1!$A$2:$L$209,11,0)</f>
        <v>기술사무</v>
      </c>
    </row>
    <row r="110" spans="1:18" x14ac:dyDescent="0.3">
      <c r="A110" s="4" t="s">
        <v>480</v>
      </c>
      <c r="B110" s="4" t="s">
        <v>753</v>
      </c>
      <c r="C110" s="5" t="s">
        <v>754</v>
      </c>
      <c r="D110" s="6" t="str">
        <f t="shared" si="1"/>
        <v>LEE/KYOUNG WON</v>
      </c>
      <c r="E110" s="6" t="str">
        <f>VLOOKUP(C110,'[1]사번,소속,이름'!$A$1:$C$159,3,)</f>
        <v>이경원</v>
      </c>
      <c r="F110" s="5" t="s">
        <v>552</v>
      </c>
      <c r="H110" s="18" t="s">
        <v>552</v>
      </c>
      <c r="L110" s="18" t="str">
        <f>VLOOKUP($C110,[2]Sheet1!$A$2:$L$208,12,0)</f>
        <v>재무관리팀</v>
      </c>
      <c r="M110" s="18" t="str">
        <f>VLOOKUP($C110,[2]Sheet1!$A$2:$L$208,2,0)</f>
        <v>이경원</v>
      </c>
      <c r="N110" s="18" t="str">
        <f>VLOOKUP($C110,[2]Sheet1!$A$2:$L$208,11,0)</f>
        <v>기술사무</v>
      </c>
      <c r="P110" s="18" t="str">
        <f>VLOOKUP($C110,[3]Sheet1!$A$2:$L$209,12,0)</f>
        <v>재무관리팀</v>
      </c>
      <c r="Q110" s="18" t="str">
        <f>VLOOKUP($C110,[3]Sheet1!$A$2:$L$209,2,0)</f>
        <v>이경원</v>
      </c>
      <c r="R110" s="18" t="str">
        <f>VLOOKUP($C110,[3]Sheet1!$A$2:$L$209,11,0)</f>
        <v>기술사무</v>
      </c>
    </row>
    <row r="111" spans="1:18" x14ac:dyDescent="0.3">
      <c r="A111" s="4" t="s">
        <v>755</v>
      </c>
      <c r="B111" s="4" t="s">
        <v>756</v>
      </c>
      <c r="C111" s="5" t="s">
        <v>757</v>
      </c>
      <c r="D111" s="6" t="str">
        <f t="shared" si="1"/>
        <v>Yoon/Sung Tak</v>
      </c>
      <c r="E111" s="6" t="str">
        <f>VLOOKUP(C111,'[1]사번,소속,이름'!$A$1:$C$159,3,)</f>
        <v>윤성탁</v>
      </c>
      <c r="F111" s="5" t="s">
        <v>37</v>
      </c>
      <c r="H111" s="18" t="s">
        <v>540</v>
      </c>
      <c r="L111" s="18" t="str">
        <f>VLOOKUP($C111,[2]Sheet1!$A$2:$L$208,12,0)</f>
        <v>Logic파트(2팀)</v>
      </c>
      <c r="M111" s="18" t="str">
        <f>VLOOKUP($C111,[2]Sheet1!$A$2:$L$208,2,0)</f>
        <v>윤성탁</v>
      </c>
      <c r="N111" s="18" t="str">
        <f>VLOOKUP($C111,[2]Sheet1!$A$2:$L$208,11,0)</f>
        <v>기술사무</v>
      </c>
      <c r="P111" s="18" t="str">
        <f>VLOOKUP($C111,[3]Sheet1!$A$2:$L$209,12,0)</f>
        <v>Logic파트</v>
      </c>
      <c r="Q111" s="18" t="str">
        <f>VLOOKUP($C111,[3]Sheet1!$A$2:$L$209,2,0)</f>
        <v>윤성탁</v>
      </c>
      <c r="R111" s="18" t="str">
        <f>VLOOKUP($C111,[3]Sheet1!$A$2:$L$209,11,0)</f>
        <v>기술사무</v>
      </c>
    </row>
    <row r="112" spans="1:18" x14ac:dyDescent="0.3">
      <c r="A112" s="4" t="s">
        <v>572</v>
      </c>
      <c r="B112" s="4" t="s">
        <v>758</v>
      </c>
      <c r="C112" s="5" t="s">
        <v>759</v>
      </c>
      <c r="D112" s="6" t="str">
        <f t="shared" si="1"/>
        <v>JEONG/Ho Yong</v>
      </c>
      <c r="E112" s="6" t="str">
        <f>VLOOKUP(C112,'[1]사번,소속,이름'!$A$1:$C$159,3,)</f>
        <v>정호용</v>
      </c>
      <c r="F112" s="5" t="s">
        <v>41</v>
      </c>
      <c r="H112" s="18" t="s">
        <v>535</v>
      </c>
      <c r="L112" s="18" t="str">
        <f>VLOOKUP($C112,[2]Sheet1!$A$2:$L$208,12,0)</f>
        <v>Analog파트(1팀)</v>
      </c>
      <c r="M112" s="18" t="str">
        <f>VLOOKUP($C112,[2]Sheet1!$A$2:$L$208,2,0)</f>
        <v>정호용</v>
      </c>
      <c r="N112" s="18" t="str">
        <f>VLOOKUP($C112,[2]Sheet1!$A$2:$L$208,11,0)</f>
        <v>기술사무</v>
      </c>
      <c r="P112" s="18" t="str">
        <f>VLOOKUP($C112,[3]Sheet1!$A$2:$L$209,12,0)</f>
        <v>Analog1파트</v>
      </c>
      <c r="Q112" s="18" t="str">
        <f>VLOOKUP($C112,[3]Sheet1!$A$2:$L$209,2,0)</f>
        <v>정호용</v>
      </c>
      <c r="R112" s="18" t="str">
        <f>VLOOKUP($C112,[3]Sheet1!$A$2:$L$209,11,0)</f>
        <v>기술사무</v>
      </c>
    </row>
    <row r="113" spans="1:18" x14ac:dyDescent="0.3">
      <c r="A113" s="4" t="s">
        <v>521</v>
      </c>
      <c r="B113" s="4" t="s">
        <v>760</v>
      </c>
      <c r="C113" s="5" t="s">
        <v>761</v>
      </c>
      <c r="D113" s="6" t="str">
        <f t="shared" si="1"/>
        <v>KIM/HYEONGHO</v>
      </c>
      <c r="E113" s="6" t="str">
        <f>VLOOKUP(C113,'[1]사번,소속,이름'!$A$1:$C$159,3,)</f>
        <v>김형호</v>
      </c>
      <c r="F113" s="5" t="s">
        <v>9</v>
      </c>
      <c r="H113" s="18" t="s">
        <v>9</v>
      </c>
      <c r="L113" s="18" t="str">
        <f>VLOOKUP($C113,[2]Sheet1!$A$2:$L$208,12,0)</f>
        <v>영업팀</v>
      </c>
      <c r="M113" s="18" t="str">
        <f>VLOOKUP($C113,[2]Sheet1!$A$2:$L$208,2,0)</f>
        <v>김형호</v>
      </c>
      <c r="N113" s="18" t="str">
        <f>VLOOKUP($C113,[2]Sheet1!$A$2:$L$208,11,0)</f>
        <v>기술사무</v>
      </c>
      <c r="P113" s="18" t="str">
        <f>VLOOKUP($C113,[3]Sheet1!$A$2:$L$209,12,0)</f>
        <v>영업팀</v>
      </c>
      <c r="Q113" s="18" t="str">
        <f>VLOOKUP($C113,[3]Sheet1!$A$2:$L$209,2,0)</f>
        <v>김형호</v>
      </c>
      <c r="R113" s="18" t="str">
        <f>VLOOKUP($C113,[3]Sheet1!$A$2:$L$209,11,0)</f>
        <v>기술사무</v>
      </c>
    </row>
    <row r="114" spans="1:18" x14ac:dyDescent="0.3">
      <c r="A114" s="4" t="s">
        <v>762</v>
      </c>
      <c r="B114" s="4" t="s">
        <v>763</v>
      </c>
      <c r="C114" s="5" t="s">
        <v>764</v>
      </c>
      <c r="D114" s="6" t="str">
        <f t="shared" si="1"/>
        <v>HONG/HYOUNGDO</v>
      </c>
      <c r="E114" s="6" t="str">
        <f>VLOOKUP(C114,'[1]사번,소속,이름'!$A$1:$C$159,3,)</f>
        <v>홍형도</v>
      </c>
      <c r="F114" s="5" t="s">
        <v>7</v>
      </c>
      <c r="H114" s="18" t="s">
        <v>7</v>
      </c>
      <c r="L114" s="18" t="str">
        <f>VLOOKUP($C114,[2]Sheet1!$A$2:$L$208,12,0)</f>
        <v>DDI마케팅파트</v>
      </c>
      <c r="M114" s="18" t="str">
        <f>VLOOKUP($C114,[2]Sheet1!$A$2:$L$208,2,0)</f>
        <v>홍형도</v>
      </c>
      <c r="N114" s="18" t="str">
        <f>VLOOKUP($C114,[2]Sheet1!$A$2:$L$208,11,0)</f>
        <v>기술사무</v>
      </c>
      <c r="P114" s="18" t="str">
        <f>VLOOKUP($C114,[3]Sheet1!$A$2:$L$209,12,0)</f>
        <v>DDI마케팅파트</v>
      </c>
      <c r="Q114" s="18" t="str">
        <f>VLOOKUP($C114,[3]Sheet1!$A$2:$L$209,2,0)</f>
        <v>홍형도</v>
      </c>
      <c r="R114" s="18" t="str">
        <f>VLOOKUP($C114,[3]Sheet1!$A$2:$L$209,11,0)</f>
        <v>기술사무</v>
      </c>
    </row>
    <row r="115" spans="1:18" x14ac:dyDescent="0.3">
      <c r="A115" s="4" t="s">
        <v>521</v>
      </c>
      <c r="B115" s="4" t="s">
        <v>765</v>
      </c>
      <c r="C115" s="5" t="s">
        <v>766</v>
      </c>
      <c r="D115" s="6" t="str">
        <f t="shared" si="1"/>
        <v>KIM/Minkeon</v>
      </c>
      <c r="E115" s="6" t="str">
        <f>VLOOKUP(C115,'[1]사번,소속,이름'!$A$1:$C$159,3,)</f>
        <v>김민건</v>
      </c>
      <c r="F115" s="5" t="s">
        <v>9</v>
      </c>
      <c r="H115" s="18" t="s">
        <v>9</v>
      </c>
      <c r="L115" s="18" t="str">
        <f>VLOOKUP($C115,[2]Sheet1!$A$2:$L$208,12,0)</f>
        <v>영업팀</v>
      </c>
      <c r="M115" s="18" t="str">
        <f>VLOOKUP($C115,[2]Sheet1!$A$2:$L$208,2,0)</f>
        <v>김민건</v>
      </c>
      <c r="N115" s="18" t="str">
        <f>VLOOKUP($C115,[2]Sheet1!$A$2:$L$208,11,0)</f>
        <v>기술사무</v>
      </c>
      <c r="P115" s="18" t="str">
        <f>VLOOKUP($C115,[3]Sheet1!$A$2:$L$209,12,0)</f>
        <v>영업팀</v>
      </c>
      <c r="Q115" s="18" t="str">
        <f>VLOOKUP($C115,[3]Sheet1!$A$2:$L$209,2,0)</f>
        <v>김민건</v>
      </c>
      <c r="R115" s="18" t="str">
        <f>VLOOKUP($C115,[3]Sheet1!$A$2:$L$209,11,0)</f>
        <v>기술사무</v>
      </c>
    </row>
    <row r="116" spans="1:18" x14ac:dyDescent="0.3">
      <c r="A116" s="4" t="s">
        <v>767</v>
      </c>
      <c r="B116" s="4" t="s">
        <v>768</v>
      </c>
      <c r="C116" s="5" t="s">
        <v>769</v>
      </c>
      <c r="D116" s="6" t="str">
        <f t="shared" si="1"/>
        <v>BAE/YUNMI</v>
      </c>
      <c r="E116" s="6" t="str">
        <f>VLOOKUP(C116,'[1]사번,소속,이름'!$A$1:$C$159,3,)</f>
        <v>배윤미</v>
      </c>
      <c r="F116" s="5" t="s">
        <v>552</v>
      </c>
      <c r="H116" s="18" t="s">
        <v>552</v>
      </c>
      <c r="L116" s="18" t="str">
        <f>VLOOKUP($C116,[2]Sheet1!$A$2:$L$208,12,0)</f>
        <v>재무관리팀</v>
      </c>
      <c r="M116" s="18" t="str">
        <f>VLOOKUP($C116,[2]Sheet1!$A$2:$L$208,2,0)</f>
        <v>배윤미</v>
      </c>
      <c r="N116" s="18" t="str">
        <f>VLOOKUP($C116,[2]Sheet1!$A$2:$L$208,11,0)</f>
        <v>기술사무</v>
      </c>
      <c r="P116" s="18" t="str">
        <f>VLOOKUP($C116,[3]Sheet1!$A$2:$L$209,12,0)</f>
        <v>재무관리팀</v>
      </c>
      <c r="Q116" s="18" t="str">
        <f>VLOOKUP($C116,[3]Sheet1!$A$2:$L$209,2,0)</f>
        <v>배윤미</v>
      </c>
      <c r="R116" s="18" t="str">
        <f>VLOOKUP($C116,[3]Sheet1!$A$2:$L$209,11,0)</f>
        <v>기술사무</v>
      </c>
    </row>
    <row r="117" spans="1:18" x14ac:dyDescent="0.3">
      <c r="A117" s="4"/>
      <c r="B117" s="4"/>
      <c r="C117" s="5" t="s">
        <v>770</v>
      </c>
      <c r="D117" s="6" t="str">
        <f t="shared" si="1"/>
        <v>/</v>
      </c>
      <c r="E117" s="6" t="s">
        <v>771</v>
      </c>
      <c r="F117" s="5" t="s">
        <v>511</v>
      </c>
      <c r="H117" s="18" t="s">
        <v>511</v>
      </c>
      <c r="L117" s="18" t="str">
        <f>VLOOKUP($C117,[2]Sheet1!$A$2:$L$208,12,0)</f>
        <v>IT파트</v>
      </c>
      <c r="M117" s="18" t="str">
        <f>VLOOKUP($C117,[2]Sheet1!$A$2:$L$208,2,0)</f>
        <v>이재현</v>
      </c>
      <c r="N117" s="18" t="str">
        <f>VLOOKUP($C117,[2]Sheet1!$A$2:$L$208,11,0)</f>
        <v>기술사무</v>
      </c>
      <c r="P117" s="18" t="str">
        <f>VLOOKUP($C117,[3]Sheet1!$A$2:$L$209,12,0)</f>
        <v>IT파트</v>
      </c>
      <c r="Q117" s="18" t="str">
        <f>VLOOKUP($C117,[3]Sheet1!$A$2:$L$209,2,0)</f>
        <v>이재현</v>
      </c>
      <c r="R117" s="18" t="str">
        <f>VLOOKUP($C117,[3]Sheet1!$A$2:$L$209,11,0)</f>
        <v>기술사무</v>
      </c>
    </row>
    <row r="118" spans="1:18" x14ac:dyDescent="0.3">
      <c r="A118" s="4"/>
      <c r="B118" s="4"/>
      <c r="C118" s="5" t="s">
        <v>772</v>
      </c>
      <c r="D118" s="6" t="str">
        <f t="shared" si="1"/>
        <v>/</v>
      </c>
      <c r="E118" s="6" t="s">
        <v>773</v>
      </c>
      <c r="F118" s="5" t="s">
        <v>774</v>
      </c>
      <c r="H118" s="18" t="s">
        <v>50</v>
      </c>
      <c r="L118" s="18" t="str">
        <f>VLOOKUP($C118,[2]Sheet1!$A$2:$L$208,12,0)</f>
        <v>2파트</v>
      </c>
      <c r="M118" s="18" t="str">
        <f>VLOOKUP($C118,[2]Sheet1!$A$2:$L$208,2,0)</f>
        <v>조아연</v>
      </c>
      <c r="N118" s="18" t="str">
        <f>VLOOKUP($C118,[2]Sheet1!$A$2:$L$208,11,0)</f>
        <v>기술사무</v>
      </c>
      <c r="P118" s="18" t="str">
        <f>VLOOKUP($C118,[3]Sheet1!$A$2:$L$209,12,0)</f>
        <v>2파트</v>
      </c>
      <c r="Q118" s="18" t="str">
        <f>VLOOKUP($C118,[3]Sheet1!$A$2:$L$209,2,0)</f>
        <v>조아연</v>
      </c>
      <c r="R118" s="18" t="str">
        <f>VLOOKUP($C118,[3]Sheet1!$A$2:$L$209,11,0)</f>
        <v>기술사무</v>
      </c>
    </row>
    <row r="119" spans="1:18" x14ac:dyDescent="0.3">
      <c r="A119" s="4"/>
      <c r="B119" s="4"/>
      <c r="C119" s="5" t="s">
        <v>775</v>
      </c>
      <c r="D119" s="6" t="str">
        <f t="shared" si="1"/>
        <v>/</v>
      </c>
      <c r="E119" s="6" t="s">
        <v>776</v>
      </c>
      <c r="F119" s="5" t="s">
        <v>593</v>
      </c>
      <c r="H119" s="18" t="s">
        <v>593</v>
      </c>
      <c r="L119" s="18" t="str">
        <f>VLOOKUP($C119,[2]Sheet1!$A$2:$L$208,12,0)</f>
        <v>Layout팀</v>
      </c>
      <c r="M119" s="18" t="str">
        <f>VLOOKUP($C119,[2]Sheet1!$A$2:$L$208,2,0)</f>
        <v>강대현</v>
      </c>
      <c r="N119" s="18" t="str">
        <f>VLOOKUP($C119,[2]Sheet1!$A$2:$L$208,11,0)</f>
        <v>기술사무</v>
      </c>
      <c r="P119" s="18" t="str">
        <f>VLOOKUP($C119,[3]Sheet1!$A$2:$L$209,12,0)</f>
        <v>Layout팀</v>
      </c>
      <c r="Q119" s="18" t="str">
        <f>VLOOKUP($C119,[3]Sheet1!$A$2:$L$209,2,0)</f>
        <v>강대현</v>
      </c>
      <c r="R119" s="18" t="str">
        <f>VLOOKUP($C119,[3]Sheet1!$A$2:$L$209,11,0)</f>
        <v>기술사무</v>
      </c>
    </row>
    <row r="120" spans="1:18" x14ac:dyDescent="0.3">
      <c r="A120" s="4"/>
      <c r="B120" s="4"/>
      <c r="C120" s="5" t="s">
        <v>777</v>
      </c>
      <c r="D120" s="6" t="str">
        <f t="shared" si="1"/>
        <v>/</v>
      </c>
      <c r="E120" s="6" t="s">
        <v>778</v>
      </c>
      <c r="F120" s="5" t="s">
        <v>15</v>
      </c>
      <c r="H120" s="18" t="s">
        <v>15</v>
      </c>
      <c r="L120" s="18" t="str">
        <f>VLOOKUP($C120,[2]Sheet1!$A$2:$L$208,12,0)</f>
        <v>외주생산파트</v>
      </c>
      <c r="M120" s="18" t="str">
        <f>VLOOKUP($C120,[2]Sheet1!$A$2:$L$208,2,0)</f>
        <v>강동균</v>
      </c>
      <c r="N120" s="18" t="str">
        <f>VLOOKUP($C120,[2]Sheet1!$A$2:$L$208,11,0)</f>
        <v>기술사무</v>
      </c>
      <c r="P120" s="18" t="str">
        <f>VLOOKUP($C120,[3]Sheet1!$A$2:$L$209,12,0)</f>
        <v>외주생산파트</v>
      </c>
      <c r="Q120" s="18" t="str">
        <f>VLOOKUP($C120,[3]Sheet1!$A$2:$L$209,2,0)</f>
        <v>강동균</v>
      </c>
      <c r="R120" s="18" t="str">
        <f>VLOOKUP($C120,[3]Sheet1!$A$2:$L$209,11,0)</f>
        <v>기술사무</v>
      </c>
    </row>
    <row r="121" spans="1:18" x14ac:dyDescent="0.3">
      <c r="A121" s="4" t="s">
        <v>493</v>
      </c>
      <c r="B121" s="4" t="s">
        <v>779</v>
      </c>
      <c r="C121" s="5" t="s">
        <v>780</v>
      </c>
      <c r="D121" s="6" t="str">
        <f t="shared" si="1"/>
        <v>CHOI/KANGZUN</v>
      </c>
      <c r="E121" s="6" t="s">
        <v>781</v>
      </c>
      <c r="F121" s="5" t="s">
        <v>17</v>
      </c>
      <c r="H121" s="18" t="s">
        <v>17</v>
      </c>
      <c r="L121" s="18" t="str">
        <f>VLOOKUP($C121,[2]Sheet1!$A$2:$L$208,12,0)</f>
        <v>전략구매파트</v>
      </c>
      <c r="M121" s="18" t="str">
        <f>VLOOKUP($C121,[2]Sheet1!$A$2:$L$208,2,0)</f>
        <v>최강준</v>
      </c>
      <c r="N121" s="18" t="str">
        <f>VLOOKUP($C121,[2]Sheet1!$A$2:$L$208,11,0)</f>
        <v>기술사무</v>
      </c>
      <c r="P121" s="18" t="str">
        <f>VLOOKUP($C121,[3]Sheet1!$A$2:$L$209,12,0)</f>
        <v>전략구매파트</v>
      </c>
      <c r="Q121" s="18" t="str">
        <f>VLOOKUP($C121,[3]Sheet1!$A$2:$L$209,2,0)</f>
        <v>최강준</v>
      </c>
      <c r="R121" s="18" t="str">
        <f>VLOOKUP($C121,[3]Sheet1!$A$2:$L$209,11,0)</f>
        <v>기술사무</v>
      </c>
    </row>
    <row r="122" spans="1:18" x14ac:dyDescent="0.3">
      <c r="A122" s="4"/>
      <c r="B122" s="4"/>
      <c r="C122" s="5" t="s">
        <v>782</v>
      </c>
      <c r="D122" s="6" t="str">
        <f t="shared" si="1"/>
        <v>/</v>
      </c>
      <c r="E122" s="6" t="s">
        <v>783</v>
      </c>
      <c r="F122" s="5" t="s">
        <v>33</v>
      </c>
      <c r="H122" s="18" t="s">
        <v>535</v>
      </c>
      <c r="L122" s="18" t="str">
        <f>VLOOKUP($C122,[2]Sheet1!$A$2:$L$208,12,0)</f>
        <v>Logic파트(1팀)</v>
      </c>
      <c r="M122" s="18" t="str">
        <f>VLOOKUP($C122,[2]Sheet1!$A$2:$L$208,2,0)</f>
        <v>김지원</v>
      </c>
      <c r="N122" s="18" t="str">
        <f>VLOOKUP($C122,[2]Sheet1!$A$2:$L$208,11,0)</f>
        <v>기술사무</v>
      </c>
      <c r="P122" s="18" t="str">
        <f>VLOOKUP($C122,[3]Sheet1!$A$2:$L$209,12,0)</f>
        <v>제품개발1파트</v>
      </c>
      <c r="Q122" s="18" t="str">
        <f>VLOOKUP($C122,[3]Sheet1!$A$2:$L$209,2,0)</f>
        <v>김지원</v>
      </c>
      <c r="R122" s="18" t="str">
        <f>VLOOKUP($C122,[3]Sheet1!$A$2:$L$209,11,0)</f>
        <v>기술사무</v>
      </c>
    </row>
    <row r="123" spans="1:18" x14ac:dyDescent="0.3">
      <c r="A123" s="4"/>
      <c r="B123" s="4"/>
      <c r="C123" s="5" t="s">
        <v>784</v>
      </c>
      <c r="D123" s="6" t="str">
        <f t="shared" si="1"/>
        <v>/</v>
      </c>
      <c r="E123" s="6" t="s">
        <v>785</v>
      </c>
      <c r="F123" s="5" t="s">
        <v>42</v>
      </c>
      <c r="H123" s="18" t="s">
        <v>540</v>
      </c>
      <c r="L123" s="18" t="str">
        <f>VLOOKUP($C123,[2]Sheet1!$A$2:$L$208,12,0)</f>
        <v>Analog파트(2팀)</v>
      </c>
      <c r="M123" s="18" t="str">
        <f>VLOOKUP($C123,[2]Sheet1!$A$2:$L$208,2,0)</f>
        <v>이호현</v>
      </c>
      <c r="N123" s="18" t="str">
        <f>VLOOKUP($C123,[2]Sheet1!$A$2:$L$208,11,0)</f>
        <v>기술사무</v>
      </c>
      <c r="P123" s="18" t="str">
        <f>VLOOKUP($C123,[3]Sheet1!$A$2:$L$209,12,0)</f>
        <v>Analog2파트</v>
      </c>
      <c r="Q123" s="18" t="str">
        <f>VLOOKUP($C123,[3]Sheet1!$A$2:$L$209,2,0)</f>
        <v>이호현</v>
      </c>
      <c r="R123" s="18" t="str">
        <f>VLOOKUP($C123,[3]Sheet1!$A$2:$L$209,11,0)</f>
        <v>기술사무</v>
      </c>
    </row>
    <row r="124" spans="1:18" x14ac:dyDescent="0.3">
      <c r="A124" s="4"/>
      <c r="B124" s="4"/>
      <c r="C124" s="5" t="s">
        <v>786</v>
      </c>
      <c r="D124" s="6" t="str">
        <f t="shared" si="1"/>
        <v>/</v>
      </c>
      <c r="E124" s="6" t="s">
        <v>787</v>
      </c>
      <c r="F124" s="5" t="s">
        <v>38</v>
      </c>
      <c r="H124" s="18" t="s">
        <v>540</v>
      </c>
      <c r="L124" s="18" t="str">
        <f>VLOOKUP($C124,[2]Sheet1!$A$2:$L$208,12,0)</f>
        <v>Logic파트(2팀)</v>
      </c>
      <c r="M124" s="18" t="str">
        <f>VLOOKUP($C124,[2]Sheet1!$A$2:$L$208,2,0)</f>
        <v>권기헌</v>
      </c>
      <c r="N124" s="18" t="str">
        <f>VLOOKUP($C124,[2]Sheet1!$A$2:$L$208,11,0)</f>
        <v>기술사무</v>
      </c>
      <c r="P124" s="18" t="str">
        <f>VLOOKUP($C124,[3]Sheet1!$A$2:$L$209,12,0)</f>
        <v>Digital IP파트</v>
      </c>
      <c r="Q124" s="18" t="str">
        <f>VLOOKUP($C124,[3]Sheet1!$A$2:$L$209,2,0)</f>
        <v>권기헌</v>
      </c>
      <c r="R124" s="18" t="str">
        <f>VLOOKUP($C124,[3]Sheet1!$A$2:$L$209,11,0)</f>
        <v>기술사무</v>
      </c>
    </row>
    <row r="125" spans="1:18" x14ac:dyDescent="0.3">
      <c r="A125" s="4"/>
      <c r="B125" s="4"/>
      <c r="C125" s="5" t="s">
        <v>788</v>
      </c>
      <c r="D125" s="6" t="str">
        <f t="shared" si="1"/>
        <v>/</v>
      </c>
      <c r="E125" s="6" t="s">
        <v>789</v>
      </c>
      <c r="F125" s="5" t="s">
        <v>37</v>
      </c>
      <c r="H125" s="18" t="s">
        <v>540</v>
      </c>
      <c r="L125" s="18" t="str">
        <f>VLOOKUP($C125,[2]Sheet1!$A$2:$L$208,12,0)</f>
        <v>Logic파트(2팀)</v>
      </c>
      <c r="M125" s="18" t="str">
        <f>VLOOKUP($C125,[2]Sheet1!$A$2:$L$208,2,0)</f>
        <v>박정은</v>
      </c>
      <c r="N125" s="18" t="str">
        <f>VLOOKUP($C125,[2]Sheet1!$A$2:$L$208,11,0)</f>
        <v>기술사무</v>
      </c>
      <c r="P125" s="18" t="str">
        <f>VLOOKUP($C125,[3]Sheet1!$A$2:$L$209,12,0)</f>
        <v>Logic파트</v>
      </c>
      <c r="Q125" s="18" t="str">
        <f>VLOOKUP($C125,[3]Sheet1!$A$2:$L$209,2,0)</f>
        <v>박정은</v>
      </c>
      <c r="R125" s="18" t="str">
        <f>VLOOKUP($C125,[3]Sheet1!$A$2:$L$209,11,0)</f>
        <v>기술사무</v>
      </c>
    </row>
    <row r="126" spans="1:18" x14ac:dyDescent="0.3">
      <c r="A126" s="4"/>
      <c r="B126" s="4"/>
      <c r="C126" s="5" t="s">
        <v>790</v>
      </c>
      <c r="D126" s="6" t="str">
        <f t="shared" si="1"/>
        <v>/</v>
      </c>
      <c r="E126" s="6" t="s">
        <v>791</v>
      </c>
      <c r="F126" s="5" t="s">
        <v>578</v>
      </c>
      <c r="H126" s="18" t="s">
        <v>578</v>
      </c>
      <c r="L126" s="18" t="str">
        <f>VLOOKUP($C126,[2]Sheet1!$A$2:$L$208,12,0)</f>
        <v>피플팀</v>
      </c>
      <c r="M126" s="18" t="str">
        <f>VLOOKUP($C126,[2]Sheet1!$A$2:$L$208,2,0)</f>
        <v>백종대</v>
      </c>
      <c r="N126" s="18" t="str">
        <f>VLOOKUP($C126,[2]Sheet1!$A$2:$L$208,11,0)</f>
        <v>계약</v>
      </c>
      <c r="P126" s="18" t="str">
        <f>VLOOKUP($C126,[3]Sheet1!$A$2:$L$209,12,0)</f>
        <v>피플팀</v>
      </c>
      <c r="Q126" s="18" t="str">
        <f>VLOOKUP($C126,[3]Sheet1!$A$2:$L$209,2,0)</f>
        <v>백종대</v>
      </c>
      <c r="R126" s="18" t="str">
        <f>VLOOKUP($C126,[3]Sheet1!$A$2:$L$209,11,0)</f>
        <v>기술사무</v>
      </c>
    </row>
    <row r="127" spans="1:18" x14ac:dyDescent="0.3">
      <c r="A127" s="4"/>
      <c r="B127" s="4"/>
      <c r="C127" s="5" t="s">
        <v>792</v>
      </c>
      <c r="D127" s="6" t="str">
        <f t="shared" si="1"/>
        <v>/</v>
      </c>
      <c r="E127" s="6" t="s">
        <v>793</v>
      </c>
      <c r="F127" s="5" t="s">
        <v>34</v>
      </c>
      <c r="H127" s="18" t="s">
        <v>540</v>
      </c>
      <c r="L127" s="18" t="str">
        <f>VLOOKUP($C127,[2]Sheet1!$A$2:$L$208,12,0)</f>
        <v>Analog파트(2팀)</v>
      </c>
      <c r="M127" s="18" t="str">
        <f>VLOOKUP($C127,[2]Sheet1!$A$2:$L$208,2,0)</f>
        <v>김형필</v>
      </c>
      <c r="N127" s="18" t="str">
        <f>VLOOKUP($C127,[2]Sheet1!$A$2:$L$208,11,0)</f>
        <v>기술사무</v>
      </c>
      <c r="P127" s="18" t="str">
        <f>VLOOKUP($C127,[3]Sheet1!$A$2:$L$209,12,0)</f>
        <v>제품개발2파트</v>
      </c>
      <c r="Q127" s="18" t="str">
        <f>VLOOKUP($C127,[3]Sheet1!$A$2:$L$209,2,0)</f>
        <v>김형필</v>
      </c>
      <c r="R127" s="18" t="str">
        <f>VLOOKUP($C127,[3]Sheet1!$A$2:$L$209,11,0)</f>
        <v>기술사무</v>
      </c>
    </row>
    <row r="128" spans="1:18" x14ac:dyDescent="0.3">
      <c r="A128" s="4"/>
      <c r="B128" s="4"/>
      <c r="C128" s="5" t="s">
        <v>794</v>
      </c>
      <c r="D128" s="6" t="str">
        <f t="shared" si="1"/>
        <v>/</v>
      </c>
      <c r="E128" s="6" t="s">
        <v>795</v>
      </c>
      <c r="F128" s="5" t="s">
        <v>38</v>
      </c>
      <c r="H128" s="18" t="s">
        <v>540</v>
      </c>
      <c r="L128" s="18" t="str">
        <f>VLOOKUP($C128,[2]Sheet1!$A$2:$L$208,12,0)</f>
        <v>Digital IP파트(2팀)</v>
      </c>
      <c r="M128" s="18" t="str">
        <f>VLOOKUP($C128,[2]Sheet1!$A$2:$L$208,2,0)</f>
        <v>강의진</v>
      </c>
      <c r="N128" s="18" t="str">
        <f>VLOOKUP($C128,[2]Sheet1!$A$2:$L$208,11,0)</f>
        <v>기술사무</v>
      </c>
      <c r="P128" s="18" t="str">
        <f>VLOOKUP($C128,[3]Sheet1!$A$2:$L$209,12,0)</f>
        <v>Digital IP파트</v>
      </c>
      <c r="Q128" s="18" t="str">
        <f>VLOOKUP($C128,[3]Sheet1!$A$2:$L$209,2,0)</f>
        <v>강의진</v>
      </c>
      <c r="R128" s="18" t="str">
        <f>VLOOKUP($C128,[3]Sheet1!$A$2:$L$209,11,0)</f>
        <v>기술사무</v>
      </c>
    </row>
    <row r="129" spans="1:18" x14ac:dyDescent="0.3">
      <c r="A129" s="4"/>
      <c r="B129" s="4"/>
      <c r="C129" s="5" t="s">
        <v>796</v>
      </c>
      <c r="D129" s="6" t="str">
        <f t="shared" si="1"/>
        <v>/</v>
      </c>
      <c r="E129" s="6" t="s">
        <v>797</v>
      </c>
      <c r="F129" s="5" t="s">
        <v>578</v>
      </c>
      <c r="H129" s="18" t="s">
        <v>578</v>
      </c>
      <c r="L129" s="18" t="str">
        <f>VLOOKUP($C129,[2]Sheet1!$A$2:$L$208,12,0)</f>
        <v>피플팀</v>
      </c>
      <c r="M129" s="18" t="str">
        <f>VLOOKUP($C129,[2]Sheet1!$A$2:$L$208,2,0)</f>
        <v>정영욱</v>
      </c>
      <c r="N129" s="18" t="str">
        <f>VLOOKUP($C129,[2]Sheet1!$A$2:$L$208,11,0)</f>
        <v>기술사무</v>
      </c>
      <c r="P129" s="18" t="str">
        <f>VLOOKUP($C129,[3]Sheet1!$A$2:$L$209,12,0)</f>
        <v>피플팀</v>
      </c>
      <c r="Q129" s="18" t="str">
        <f>VLOOKUP($C129,[3]Sheet1!$A$2:$L$209,2,0)</f>
        <v>정영욱</v>
      </c>
      <c r="R129" s="18" t="str">
        <f>VLOOKUP($C129,[3]Sheet1!$A$2:$L$209,11,0)</f>
        <v>기술사무</v>
      </c>
    </row>
    <row r="130" spans="1:18" x14ac:dyDescent="0.3">
      <c r="A130" s="4" t="s">
        <v>480</v>
      </c>
      <c r="B130" s="4" t="s">
        <v>798</v>
      </c>
      <c r="C130" s="5" t="s">
        <v>799</v>
      </c>
      <c r="D130" s="6" t="str">
        <f t="shared" ref="D130:D193" si="2">A130&amp;"/"&amp;B130</f>
        <v>LEE/JOWOON</v>
      </c>
      <c r="E130" s="6" t="s">
        <v>800</v>
      </c>
      <c r="F130" s="5" t="s">
        <v>44</v>
      </c>
      <c r="H130" s="18" t="s">
        <v>44</v>
      </c>
      <c r="L130" s="18" t="str">
        <f>VLOOKUP($C130,[2]Sheet1!$A$2:$L$208,12,0)</f>
        <v>ESD팀</v>
      </c>
      <c r="M130" s="18" t="str">
        <f>VLOOKUP($C130,[2]Sheet1!$A$2:$L$208,2,0)</f>
        <v>이조운</v>
      </c>
      <c r="N130" s="18" t="str">
        <f>VLOOKUP($C130,[2]Sheet1!$A$2:$L$208,11,0)</f>
        <v>기술사무</v>
      </c>
      <c r="P130" s="18" t="str">
        <f>VLOOKUP($C130,[3]Sheet1!$A$2:$L$209,12,0)</f>
        <v>ESD팀</v>
      </c>
      <c r="Q130" s="18" t="str">
        <f>VLOOKUP($C130,[3]Sheet1!$A$2:$L$209,2,0)</f>
        <v>이조운</v>
      </c>
      <c r="R130" s="18" t="str">
        <f>VLOOKUP($C130,[3]Sheet1!$A$2:$L$209,11,0)</f>
        <v>기술사무</v>
      </c>
    </row>
    <row r="131" spans="1:18" x14ac:dyDescent="0.3">
      <c r="A131" s="4"/>
      <c r="B131" s="4"/>
      <c r="C131" s="5" t="s">
        <v>801</v>
      </c>
      <c r="D131" s="6" t="str">
        <f t="shared" si="2"/>
        <v>/</v>
      </c>
      <c r="E131" s="6" t="s">
        <v>802</v>
      </c>
      <c r="F131" s="5" t="s">
        <v>44</v>
      </c>
      <c r="H131" s="18" t="s">
        <v>44</v>
      </c>
      <c r="L131" s="18" t="str">
        <f>VLOOKUP($C131,[2]Sheet1!$A$2:$L$208,12,0)</f>
        <v>ESD팀</v>
      </c>
      <c r="M131" s="18" t="str">
        <f>VLOOKUP($C131,[2]Sheet1!$A$2:$L$208,2,0)</f>
        <v>박원석</v>
      </c>
      <c r="N131" s="18" t="str">
        <f>VLOOKUP($C131,[2]Sheet1!$A$2:$L$208,11,0)</f>
        <v>기술사무</v>
      </c>
      <c r="P131" s="18" t="str">
        <f>VLOOKUP($C131,[3]Sheet1!$A$2:$L$209,12,0)</f>
        <v>ESD팀</v>
      </c>
      <c r="Q131" s="18" t="str">
        <f>VLOOKUP($C131,[3]Sheet1!$A$2:$L$209,2,0)</f>
        <v>박원석</v>
      </c>
      <c r="R131" s="18" t="str">
        <f>VLOOKUP($C131,[3]Sheet1!$A$2:$L$209,11,0)</f>
        <v>기술사무</v>
      </c>
    </row>
    <row r="132" spans="1:18" x14ac:dyDescent="0.3">
      <c r="A132" s="4"/>
      <c r="B132" s="4"/>
      <c r="C132" s="5" t="s">
        <v>803</v>
      </c>
      <c r="D132" s="6" t="str">
        <f t="shared" si="2"/>
        <v>/</v>
      </c>
      <c r="E132" s="6" t="s">
        <v>804</v>
      </c>
      <c r="F132" s="5" t="s">
        <v>607</v>
      </c>
      <c r="H132" s="18" t="s">
        <v>50</v>
      </c>
      <c r="L132" s="18" t="str">
        <f>VLOOKUP($C132,[2]Sheet1!$A$2:$L$208,12,0)</f>
        <v>1파트</v>
      </c>
      <c r="M132" s="18" t="str">
        <f>VLOOKUP($C132,[2]Sheet1!$A$2:$L$208,2,0)</f>
        <v>김동욱</v>
      </c>
      <c r="N132" s="18" t="str">
        <f>VLOOKUP($C132,[2]Sheet1!$A$2:$L$208,11,0)</f>
        <v>기술사무</v>
      </c>
      <c r="P132" s="18" t="str">
        <f>VLOOKUP($C132,[3]Sheet1!$A$2:$L$209,12,0)</f>
        <v>1파트</v>
      </c>
      <c r="Q132" s="18" t="str">
        <f>VLOOKUP($C132,[3]Sheet1!$A$2:$L$209,2,0)</f>
        <v>김동욱</v>
      </c>
      <c r="R132" s="18" t="str">
        <f>VLOOKUP($C132,[3]Sheet1!$A$2:$L$209,11,0)</f>
        <v>기술사무</v>
      </c>
    </row>
    <row r="133" spans="1:18" x14ac:dyDescent="0.3">
      <c r="A133" s="4"/>
      <c r="B133" s="4"/>
      <c r="C133" s="5" t="s">
        <v>805</v>
      </c>
      <c r="D133" s="6" t="str">
        <f t="shared" si="2"/>
        <v>/</v>
      </c>
      <c r="E133" s="6" t="s">
        <v>806</v>
      </c>
      <c r="F133" s="5" t="e">
        <v>#N/A</v>
      </c>
      <c r="H133" s="18" t="s">
        <v>540</v>
      </c>
      <c r="L133" s="18" t="str">
        <f>VLOOKUP($C133,[2]Sheet1!$A$2:$L$208,12,0)</f>
        <v>Analog파트(2팀)</v>
      </c>
      <c r="M133" s="18" t="str">
        <f>VLOOKUP($C133,[2]Sheet1!$A$2:$L$208,2,0)</f>
        <v>이용준</v>
      </c>
      <c r="N133" s="18" t="str">
        <f>VLOOKUP($C133,[2]Sheet1!$A$2:$L$208,11,0)</f>
        <v>기술사무</v>
      </c>
      <c r="P133" s="18" t="e">
        <f>VLOOKUP($C133,[3]Sheet1!$A$2:$L$209,12,0)</f>
        <v>#N/A</v>
      </c>
      <c r="Q133" s="18" t="e">
        <f>VLOOKUP($C133,[3]Sheet1!$A$2:$L$209,2,0)</f>
        <v>#N/A</v>
      </c>
      <c r="R133" s="18" t="e">
        <f>VLOOKUP($C133,[3]Sheet1!$A$2:$L$209,11,0)</f>
        <v>#N/A</v>
      </c>
    </row>
    <row r="134" spans="1:18" x14ac:dyDescent="0.3">
      <c r="A134" s="4"/>
      <c r="B134" s="4"/>
      <c r="C134" s="5" t="s">
        <v>807</v>
      </c>
      <c r="D134" s="6" t="str">
        <f t="shared" si="2"/>
        <v>/</v>
      </c>
      <c r="E134" s="6" t="s">
        <v>808</v>
      </c>
      <c r="F134" s="5" t="s">
        <v>774</v>
      </c>
      <c r="H134" s="18" t="s">
        <v>50</v>
      </c>
      <c r="L134" s="18" t="str">
        <f>VLOOKUP($C134,[2]Sheet1!$A$2:$L$208,12,0)</f>
        <v>2파트</v>
      </c>
      <c r="M134" s="18" t="str">
        <f>VLOOKUP($C134,[2]Sheet1!$A$2:$L$208,2,0)</f>
        <v>진유남</v>
      </c>
      <c r="N134" s="18" t="str">
        <f>VLOOKUP($C134,[2]Sheet1!$A$2:$L$208,11,0)</f>
        <v>기술사무</v>
      </c>
      <c r="P134" s="18" t="str">
        <f>VLOOKUP($C134,[3]Sheet1!$A$2:$L$209,12,0)</f>
        <v>2파트</v>
      </c>
      <c r="Q134" s="18" t="str">
        <f>VLOOKUP($C134,[3]Sheet1!$A$2:$L$209,2,0)</f>
        <v>진유남</v>
      </c>
      <c r="R134" s="18" t="str">
        <f>VLOOKUP($C134,[3]Sheet1!$A$2:$L$209,11,0)</f>
        <v>기술사무</v>
      </c>
    </row>
    <row r="135" spans="1:18" x14ac:dyDescent="0.3">
      <c r="A135" s="4"/>
      <c r="B135" s="4"/>
      <c r="C135" s="5" t="s">
        <v>809</v>
      </c>
      <c r="D135" s="6" t="str">
        <f t="shared" si="2"/>
        <v>/</v>
      </c>
      <c r="E135" s="6" t="s">
        <v>810</v>
      </c>
      <c r="F135" s="5" t="s">
        <v>23</v>
      </c>
      <c r="H135" s="18" t="s">
        <v>23</v>
      </c>
      <c r="L135" s="18" t="str">
        <f>VLOOKUP($C135,[2]Sheet1!$A$2:$L$208,12,0)</f>
        <v>제품기술팀</v>
      </c>
      <c r="M135" s="18" t="str">
        <f>VLOOKUP($C135,[2]Sheet1!$A$2:$L$208,2,0)</f>
        <v>공수현</v>
      </c>
      <c r="N135" s="18" t="str">
        <f>VLOOKUP($C135,[2]Sheet1!$A$2:$L$208,11,0)</f>
        <v>기술사무</v>
      </c>
      <c r="P135" s="18" t="str">
        <f>VLOOKUP($C135,[3]Sheet1!$A$2:$L$209,12,0)</f>
        <v>제품기술팀</v>
      </c>
      <c r="Q135" s="18" t="str">
        <f>VLOOKUP($C135,[3]Sheet1!$A$2:$L$209,2,0)</f>
        <v>공수현</v>
      </c>
      <c r="R135" s="18" t="str">
        <f>VLOOKUP($C135,[3]Sheet1!$A$2:$L$209,11,0)</f>
        <v>기술사무</v>
      </c>
    </row>
    <row r="136" spans="1:18" x14ac:dyDescent="0.3">
      <c r="A136" s="4" t="s">
        <v>811</v>
      </c>
      <c r="B136" s="4" t="s">
        <v>812</v>
      </c>
      <c r="C136" s="5" t="s">
        <v>813</v>
      </c>
      <c r="D136" s="6" t="str">
        <f t="shared" si="2"/>
        <v>JIN/SHIHAO</v>
      </c>
      <c r="E136" s="6" t="s">
        <v>814</v>
      </c>
      <c r="F136" s="5" t="s">
        <v>33</v>
      </c>
      <c r="H136" s="18" t="s">
        <v>535</v>
      </c>
      <c r="L136" s="18" t="str">
        <f>VLOOKUP($C136,[2]Sheet1!$A$2:$L$208,12,0)</f>
        <v>Logic파트(1팀)</v>
      </c>
      <c r="M136" s="18" t="str">
        <f>VLOOKUP($C136,[2]Sheet1!$A$2:$L$208,2,0)</f>
        <v>김세호</v>
      </c>
      <c r="N136" s="18" t="str">
        <f>VLOOKUP($C136,[2]Sheet1!$A$2:$L$208,11,0)</f>
        <v>기술사무</v>
      </c>
      <c r="P136" s="18" t="str">
        <f>VLOOKUP($C136,[3]Sheet1!$A$2:$L$209,12,0)</f>
        <v>제품개발1파트</v>
      </c>
      <c r="Q136" s="18" t="str">
        <f>VLOOKUP($C136,[3]Sheet1!$A$2:$L$209,2,0)</f>
        <v>김세호</v>
      </c>
      <c r="R136" s="18" t="str">
        <f>VLOOKUP($C136,[3]Sheet1!$A$2:$L$209,11,0)</f>
        <v>기술사무</v>
      </c>
    </row>
    <row r="137" spans="1:18" x14ac:dyDescent="0.3">
      <c r="A137" s="4"/>
      <c r="B137" s="4"/>
      <c r="C137" s="5" t="s">
        <v>815</v>
      </c>
      <c r="D137" s="6" t="str">
        <f t="shared" si="2"/>
        <v>/</v>
      </c>
      <c r="E137" s="6" t="s">
        <v>816</v>
      </c>
      <c r="F137" s="5" t="s">
        <v>41</v>
      </c>
      <c r="H137" s="18" t="s">
        <v>540</v>
      </c>
      <c r="L137" s="18" t="str">
        <f>VLOOKUP($C137,[2]Sheet1!$A$2:$L$208,12,0)</f>
        <v>Analog파트(2팀)</v>
      </c>
      <c r="M137" s="18" t="str">
        <f>VLOOKUP($C137,[2]Sheet1!$A$2:$L$208,2,0)</f>
        <v>조준형</v>
      </c>
      <c r="N137" s="18" t="str">
        <f>VLOOKUP($C137,[2]Sheet1!$A$2:$L$208,11,0)</f>
        <v>기술사무</v>
      </c>
      <c r="P137" s="18" t="str">
        <f>VLOOKUP($C137,[3]Sheet1!$A$2:$L$209,12,0)</f>
        <v>Analog1파트</v>
      </c>
      <c r="Q137" s="18" t="str">
        <f>VLOOKUP($C137,[3]Sheet1!$A$2:$L$209,2,0)</f>
        <v>조준형</v>
      </c>
      <c r="R137" s="18" t="str">
        <f>VLOOKUP($C137,[3]Sheet1!$A$2:$L$209,11,0)</f>
        <v>기술사무</v>
      </c>
    </row>
    <row r="138" spans="1:18" x14ac:dyDescent="0.3">
      <c r="A138" s="4" t="s">
        <v>817</v>
      </c>
      <c r="B138" s="4" t="s">
        <v>818</v>
      </c>
      <c r="C138" s="5" t="s">
        <v>819</v>
      </c>
      <c r="D138" s="6" t="str">
        <f t="shared" si="2"/>
        <v>BYUN/SEUNGCHAN</v>
      </c>
      <c r="E138" s="6" t="s">
        <v>302</v>
      </c>
      <c r="F138" s="5" t="s">
        <v>38</v>
      </c>
      <c r="H138" s="18" t="s">
        <v>540</v>
      </c>
      <c r="L138" s="18" t="str">
        <f>VLOOKUP($C138,[2]Sheet1!$A$2:$L$208,12,0)</f>
        <v>Digital IP파트(2팀)</v>
      </c>
      <c r="M138" s="18" t="str">
        <f>VLOOKUP($C138,[2]Sheet1!$A$2:$L$208,2,0)</f>
        <v>변승찬</v>
      </c>
      <c r="N138" s="18" t="str">
        <f>VLOOKUP($C138,[2]Sheet1!$A$2:$L$208,11,0)</f>
        <v>기술사무</v>
      </c>
      <c r="P138" s="18" t="str">
        <f>VLOOKUP($C138,[3]Sheet1!$A$2:$L$209,12,0)</f>
        <v>Digital IP파트</v>
      </c>
      <c r="Q138" s="18" t="str">
        <f>VLOOKUP($C138,[3]Sheet1!$A$2:$L$209,2,0)</f>
        <v>변승찬</v>
      </c>
      <c r="R138" s="18" t="str">
        <f>VLOOKUP($C138,[3]Sheet1!$A$2:$L$209,11,0)</f>
        <v>기술사무</v>
      </c>
    </row>
    <row r="139" spans="1:18" x14ac:dyDescent="0.3">
      <c r="A139" s="4" t="s">
        <v>497</v>
      </c>
      <c r="B139" s="4" t="s">
        <v>820</v>
      </c>
      <c r="C139" s="5" t="s">
        <v>821</v>
      </c>
      <c r="D139" s="6" t="str">
        <f t="shared" si="2"/>
        <v>PARK/CHANHO</v>
      </c>
      <c r="E139" s="6" t="s">
        <v>822</v>
      </c>
      <c r="F139" s="5" t="s">
        <v>3</v>
      </c>
      <c r="H139" s="18" t="s">
        <v>3</v>
      </c>
      <c r="I139" s="18" t="s">
        <v>4</v>
      </c>
      <c r="L139" s="18" t="str">
        <f>VLOOKUP($C139,[2]Sheet1!$A$2:$L$208,12,0)</f>
        <v>DB글로벌칩</v>
      </c>
      <c r="M139" s="18" t="str">
        <f>VLOOKUP($C139,[2]Sheet1!$A$2:$L$208,2,0)</f>
        <v>박찬호</v>
      </c>
      <c r="N139" s="18" t="str">
        <f>VLOOKUP($C139,[2]Sheet1!$A$2:$L$208,11,0)</f>
        <v>임원</v>
      </c>
      <c r="P139" s="18" t="str">
        <f>VLOOKUP($C139,[3]Sheet1!$A$2:$L$209,12,0)</f>
        <v>DB글로벌칩</v>
      </c>
      <c r="Q139" s="18" t="str">
        <f>VLOOKUP($C139,[3]Sheet1!$A$2:$L$209,2,0)</f>
        <v>박찬호</v>
      </c>
      <c r="R139" s="18" t="str">
        <f>VLOOKUP($C139,[3]Sheet1!$A$2:$L$209,11,0)</f>
        <v>임원</v>
      </c>
    </row>
    <row r="140" spans="1:18" x14ac:dyDescent="0.3">
      <c r="A140" s="4"/>
      <c r="B140" s="4"/>
      <c r="C140" s="5" t="s">
        <v>823</v>
      </c>
      <c r="D140" s="6" t="str">
        <f t="shared" si="2"/>
        <v>/</v>
      </c>
      <c r="E140" s="6" t="s">
        <v>824</v>
      </c>
      <c r="F140" s="5" t="s">
        <v>34</v>
      </c>
      <c r="H140" s="18" t="s">
        <v>540</v>
      </c>
      <c r="L140" s="18" t="str">
        <f>VLOOKUP($C140,[2]Sheet1!$A$2:$L$208,12,0)</f>
        <v>Analog파트(2팀)</v>
      </c>
      <c r="M140" s="18" t="str">
        <f>VLOOKUP($C140,[2]Sheet1!$A$2:$L$208,2,0)</f>
        <v>김병용</v>
      </c>
      <c r="N140" s="18" t="str">
        <f>VLOOKUP($C140,[2]Sheet1!$A$2:$L$208,11,0)</f>
        <v>기술사무</v>
      </c>
      <c r="P140" s="18" t="str">
        <f>VLOOKUP($C140,[3]Sheet1!$A$2:$L$209,12,0)</f>
        <v>제품개발2파트</v>
      </c>
      <c r="Q140" s="18" t="str">
        <f>VLOOKUP($C140,[3]Sheet1!$A$2:$L$209,2,0)</f>
        <v>김병용</v>
      </c>
      <c r="R140" s="18" t="str">
        <f>VLOOKUP($C140,[3]Sheet1!$A$2:$L$209,11,0)</f>
        <v>기술사무</v>
      </c>
    </row>
    <row r="141" spans="1:18" x14ac:dyDescent="0.3">
      <c r="A141" s="4"/>
      <c r="B141" s="4"/>
      <c r="C141" s="5" t="s">
        <v>825</v>
      </c>
      <c r="D141" s="6" t="str">
        <f t="shared" si="2"/>
        <v>/</v>
      </c>
      <c r="E141" s="6" t="s">
        <v>826</v>
      </c>
      <c r="F141" s="5" t="s">
        <v>593</v>
      </c>
      <c r="H141" s="18" t="s">
        <v>593</v>
      </c>
      <c r="L141" s="18" t="str">
        <f>VLOOKUP($C141,[2]Sheet1!$A$2:$L$208,12,0)</f>
        <v>Layout팀</v>
      </c>
      <c r="M141" s="18" t="str">
        <f>VLOOKUP($C141,[2]Sheet1!$A$2:$L$208,2,0)</f>
        <v>이태호</v>
      </c>
      <c r="N141" s="18" t="str">
        <f>VLOOKUP($C141,[2]Sheet1!$A$2:$L$208,11,0)</f>
        <v>기술사무</v>
      </c>
      <c r="P141" s="18" t="str">
        <f>VLOOKUP($C141,[3]Sheet1!$A$2:$L$209,12,0)</f>
        <v>Layout팀</v>
      </c>
      <c r="Q141" s="18" t="str">
        <f>VLOOKUP($C141,[3]Sheet1!$A$2:$L$209,2,0)</f>
        <v>이태호</v>
      </c>
      <c r="R141" s="18" t="str">
        <f>VLOOKUP($C141,[3]Sheet1!$A$2:$L$209,11,0)</f>
        <v>기술사무</v>
      </c>
    </row>
    <row r="142" spans="1:18" x14ac:dyDescent="0.3">
      <c r="A142" s="4"/>
      <c r="B142" s="4"/>
      <c r="C142" s="5" t="s">
        <v>827</v>
      </c>
      <c r="D142" s="6" t="str">
        <f t="shared" si="2"/>
        <v>/</v>
      </c>
      <c r="E142" s="6" t="s">
        <v>828</v>
      </c>
      <c r="F142" s="5" t="s">
        <v>44</v>
      </c>
      <c r="H142" s="18" t="s">
        <v>44</v>
      </c>
      <c r="L142" s="18" t="str">
        <f>VLOOKUP($C142,[2]Sheet1!$A$2:$L$208,12,0)</f>
        <v>ESD팀</v>
      </c>
      <c r="M142" s="18" t="str">
        <f>VLOOKUP($C142,[2]Sheet1!$A$2:$L$208,2,0)</f>
        <v>최윤서</v>
      </c>
      <c r="N142" s="18" t="str">
        <f>VLOOKUP($C142,[2]Sheet1!$A$2:$L$208,11,0)</f>
        <v>기술사무</v>
      </c>
      <c r="P142" s="18" t="str">
        <f>VLOOKUP($C142,[3]Sheet1!$A$2:$L$209,12,0)</f>
        <v>ESD팀</v>
      </c>
      <c r="Q142" s="18" t="str">
        <f>VLOOKUP($C142,[3]Sheet1!$A$2:$L$209,2,0)</f>
        <v>최윤서</v>
      </c>
      <c r="R142" s="18" t="str">
        <f>VLOOKUP($C142,[3]Sheet1!$A$2:$L$209,11,0)</f>
        <v>기술사무</v>
      </c>
    </row>
    <row r="143" spans="1:18" x14ac:dyDescent="0.3">
      <c r="A143" s="4" t="s">
        <v>829</v>
      </c>
      <c r="B143" s="4" t="s">
        <v>830</v>
      </c>
      <c r="C143" s="5" t="s">
        <v>831</v>
      </c>
      <c r="D143" s="6" t="str">
        <f t="shared" si="2"/>
        <v>YOOK/HEUNGSEOB</v>
      </c>
      <c r="E143" s="6" t="s">
        <v>832</v>
      </c>
      <c r="F143" s="5" t="s">
        <v>27</v>
      </c>
      <c r="H143" s="18" t="s">
        <v>27</v>
      </c>
      <c r="L143" s="18" t="str">
        <f>VLOOKUP($C143,[2]Sheet1!$A$2:$L$208,12,0)</f>
        <v>PKG파트</v>
      </c>
      <c r="M143" s="18" t="str">
        <f>VLOOKUP($C143,[2]Sheet1!$A$2:$L$208,2,0)</f>
        <v>육흥섭</v>
      </c>
      <c r="N143" s="18" t="str">
        <f>VLOOKUP($C143,[2]Sheet1!$A$2:$L$208,11,0)</f>
        <v>기술사무</v>
      </c>
      <c r="P143" s="18" t="str">
        <f>VLOOKUP($C143,[3]Sheet1!$A$2:$L$209,12,0)</f>
        <v>PKG파트</v>
      </c>
      <c r="Q143" s="18" t="str">
        <f>VLOOKUP($C143,[3]Sheet1!$A$2:$L$209,2,0)</f>
        <v>육흥섭</v>
      </c>
      <c r="R143" s="18" t="str">
        <f>VLOOKUP($C143,[3]Sheet1!$A$2:$L$209,11,0)</f>
        <v>기술사무</v>
      </c>
    </row>
    <row r="144" spans="1:18" x14ac:dyDescent="0.3">
      <c r="A144" s="4"/>
      <c r="B144" s="4"/>
      <c r="C144" s="5" t="s">
        <v>833</v>
      </c>
      <c r="D144" s="6" t="str">
        <f t="shared" si="2"/>
        <v>/</v>
      </c>
      <c r="E144" s="6" t="s">
        <v>834</v>
      </c>
      <c r="F144" s="5" t="s">
        <v>21</v>
      </c>
      <c r="H144" s="18" t="s">
        <v>21</v>
      </c>
      <c r="L144" s="18" t="str">
        <f>VLOOKUP($C144,[2]Sheet1!$A$2:$L$208,12,0)</f>
        <v>품질팀</v>
      </c>
      <c r="M144" s="18" t="str">
        <f>VLOOKUP($C144,[2]Sheet1!$A$2:$L$208,2,0)</f>
        <v>이민수</v>
      </c>
      <c r="N144" s="18" t="str">
        <f>VLOOKUP($C144,[2]Sheet1!$A$2:$L$208,11,0)</f>
        <v>기술사무</v>
      </c>
      <c r="P144" s="18" t="str">
        <f>VLOOKUP($C144,[3]Sheet1!$A$2:$L$209,12,0)</f>
        <v>품질팀</v>
      </c>
      <c r="Q144" s="18" t="str">
        <f>VLOOKUP($C144,[3]Sheet1!$A$2:$L$209,2,0)</f>
        <v>이민수</v>
      </c>
      <c r="R144" s="18" t="str">
        <f>VLOOKUP($C144,[3]Sheet1!$A$2:$L$209,11,0)</f>
        <v>기술사무</v>
      </c>
    </row>
    <row r="145" spans="1:18" x14ac:dyDescent="0.3">
      <c r="A145" s="4"/>
      <c r="B145" s="4"/>
      <c r="C145" s="5" t="s">
        <v>835</v>
      </c>
      <c r="D145" s="6" t="str">
        <f t="shared" si="2"/>
        <v>/</v>
      </c>
      <c r="E145" s="6" t="s">
        <v>836</v>
      </c>
      <c r="F145" s="5" t="s">
        <v>23</v>
      </c>
      <c r="H145" s="18" t="s">
        <v>23</v>
      </c>
      <c r="L145" s="18" t="str">
        <f>VLOOKUP($C145,[2]Sheet1!$A$2:$L$208,12,0)</f>
        <v>제품기술팀</v>
      </c>
      <c r="M145" s="18" t="str">
        <f>VLOOKUP($C145,[2]Sheet1!$A$2:$L$208,2,0)</f>
        <v>허용무</v>
      </c>
      <c r="N145" s="18" t="str">
        <f>VLOOKUP($C145,[2]Sheet1!$A$2:$L$208,11,0)</f>
        <v>기술사무</v>
      </c>
      <c r="P145" s="18" t="str">
        <f>VLOOKUP($C145,[3]Sheet1!$A$2:$L$209,12,0)</f>
        <v>제품기술팀</v>
      </c>
      <c r="Q145" s="18" t="str">
        <f>VLOOKUP($C145,[3]Sheet1!$A$2:$L$209,2,0)</f>
        <v>허용무</v>
      </c>
      <c r="R145" s="18" t="str">
        <f>VLOOKUP($C145,[3]Sheet1!$A$2:$L$209,11,0)</f>
        <v>기술사무</v>
      </c>
    </row>
    <row r="146" spans="1:18" x14ac:dyDescent="0.3">
      <c r="A146" s="4"/>
      <c r="B146" s="4"/>
      <c r="C146" s="5" t="s">
        <v>837</v>
      </c>
      <c r="D146" s="6" t="str">
        <f t="shared" si="2"/>
        <v>/</v>
      </c>
      <c r="E146" s="6" t="s">
        <v>838</v>
      </c>
      <c r="F146" s="5" t="s">
        <v>37</v>
      </c>
      <c r="H146" s="18" t="s">
        <v>540</v>
      </c>
      <c r="L146" s="18" t="str">
        <f>VLOOKUP($C146,[2]Sheet1!$A$2:$L$208,12,0)</f>
        <v>Logic파트(2팀)</v>
      </c>
      <c r="M146" s="18" t="str">
        <f>VLOOKUP($C146,[2]Sheet1!$A$2:$L$208,2,0)</f>
        <v>정민혜</v>
      </c>
      <c r="N146" s="18" t="str">
        <f>VLOOKUP($C146,[2]Sheet1!$A$2:$L$208,11,0)</f>
        <v>기술사무</v>
      </c>
      <c r="P146" s="18" t="str">
        <f>VLOOKUP($C146,[3]Sheet1!$A$2:$L$209,12,0)</f>
        <v>Logic파트</v>
      </c>
      <c r="Q146" s="18" t="str">
        <f>VLOOKUP($C146,[3]Sheet1!$A$2:$L$209,2,0)</f>
        <v>정민혜</v>
      </c>
      <c r="R146" s="18" t="str">
        <f>VLOOKUP($C146,[3]Sheet1!$A$2:$L$209,11,0)</f>
        <v>기술사무</v>
      </c>
    </row>
    <row r="147" spans="1:18" x14ac:dyDescent="0.3">
      <c r="A147" s="4"/>
      <c r="B147" s="4"/>
      <c r="C147" s="5" t="s">
        <v>839</v>
      </c>
      <c r="D147" s="6" t="str">
        <f t="shared" si="2"/>
        <v>/</v>
      </c>
      <c r="E147" s="6" t="s">
        <v>840</v>
      </c>
      <c r="F147" s="5" t="s">
        <v>841</v>
      </c>
      <c r="H147" s="18" t="s">
        <v>841</v>
      </c>
      <c r="L147" s="18" t="str">
        <f>VLOOKUP($C147,[2]Sheet1!$A$2:$L$208,12,0)</f>
        <v>장애인 선수단</v>
      </c>
      <c r="M147" s="18" t="str">
        <f>VLOOKUP($C147,[2]Sheet1!$A$2:$L$208,2,0)</f>
        <v>이수연</v>
      </c>
      <c r="N147" s="18" t="str">
        <f>VLOOKUP($C147,[2]Sheet1!$A$2:$L$208,11,0)</f>
        <v>계약</v>
      </c>
      <c r="P147" s="18" t="str">
        <f>VLOOKUP($C147,[3]Sheet1!$A$2:$L$209,12,0)</f>
        <v>장애인 선수단</v>
      </c>
      <c r="Q147" s="18" t="str">
        <f>VLOOKUP($C147,[3]Sheet1!$A$2:$L$209,2,0)</f>
        <v>이수연</v>
      </c>
      <c r="R147" s="18" t="str">
        <f>VLOOKUP($C147,[3]Sheet1!$A$2:$L$209,11,0)</f>
        <v>계약</v>
      </c>
    </row>
    <row r="148" spans="1:18" x14ac:dyDescent="0.3">
      <c r="A148" s="4"/>
      <c r="B148" s="4"/>
      <c r="C148" s="5" t="s">
        <v>842</v>
      </c>
      <c r="D148" s="6" t="str">
        <f t="shared" si="2"/>
        <v>/</v>
      </c>
      <c r="E148" s="6" t="s">
        <v>843</v>
      </c>
      <c r="F148" s="5" t="s">
        <v>841</v>
      </c>
      <c r="H148" s="18" t="s">
        <v>841</v>
      </c>
      <c r="L148" s="18" t="str">
        <f>VLOOKUP($C148,[2]Sheet1!$A$2:$L$208,12,0)</f>
        <v>장애인 선수단</v>
      </c>
      <c r="M148" s="18" t="str">
        <f>VLOOKUP($C148,[2]Sheet1!$A$2:$L$208,2,0)</f>
        <v>이지영</v>
      </c>
      <c r="N148" s="18" t="str">
        <f>VLOOKUP($C148,[2]Sheet1!$A$2:$L$208,11,0)</f>
        <v>계약</v>
      </c>
      <c r="P148" s="18" t="str">
        <f>VLOOKUP($C148,[3]Sheet1!$A$2:$L$209,12,0)</f>
        <v>장애인 선수단</v>
      </c>
      <c r="Q148" s="18" t="str">
        <f>VLOOKUP($C148,[3]Sheet1!$A$2:$L$209,2,0)</f>
        <v>이지영</v>
      </c>
      <c r="R148" s="18" t="str">
        <f>VLOOKUP($C148,[3]Sheet1!$A$2:$L$209,11,0)</f>
        <v>계약</v>
      </c>
    </row>
    <row r="149" spans="1:18" x14ac:dyDescent="0.3">
      <c r="A149" s="4"/>
      <c r="B149" s="4"/>
      <c r="C149" s="5" t="s">
        <v>844</v>
      </c>
      <c r="D149" s="6" t="str">
        <f t="shared" si="2"/>
        <v>/</v>
      </c>
      <c r="E149" s="6" t="s">
        <v>845</v>
      </c>
      <c r="F149" s="5" t="s">
        <v>578</v>
      </c>
      <c r="H149" s="18" t="s">
        <v>578</v>
      </c>
      <c r="L149" s="18" t="str">
        <f>VLOOKUP($C149,[2]Sheet1!$A$2:$L$208,12,0)</f>
        <v>피플팀</v>
      </c>
      <c r="M149" s="18" t="str">
        <f>VLOOKUP($C149,[2]Sheet1!$A$2:$L$208,2,0)</f>
        <v>유소연</v>
      </c>
      <c r="N149" s="18" t="str">
        <f>VLOOKUP($C149,[2]Sheet1!$A$2:$L$208,11,0)</f>
        <v>기술사무</v>
      </c>
      <c r="P149" s="18" t="str">
        <f>VLOOKUP($C149,[3]Sheet1!$A$2:$L$209,12,0)</f>
        <v>피플팀</v>
      </c>
      <c r="Q149" s="18" t="str">
        <f>VLOOKUP($C149,[3]Sheet1!$A$2:$L$209,2,0)</f>
        <v>유소연</v>
      </c>
      <c r="R149" s="18" t="str">
        <f>VLOOKUP($C149,[3]Sheet1!$A$2:$L$209,11,0)</f>
        <v>기술사무</v>
      </c>
    </row>
    <row r="150" spans="1:18" x14ac:dyDescent="0.3">
      <c r="A150" s="4"/>
      <c r="B150" s="4"/>
      <c r="C150" s="5" t="s">
        <v>846</v>
      </c>
      <c r="D150" s="6" t="str">
        <f t="shared" si="2"/>
        <v>/</v>
      </c>
      <c r="E150" s="6" t="s">
        <v>847</v>
      </c>
      <c r="F150" s="5" t="s">
        <v>33</v>
      </c>
      <c r="H150" s="18" t="s">
        <v>535</v>
      </c>
      <c r="L150" s="18" t="str">
        <f>VLOOKUP($C150,[2]Sheet1!$A$2:$L$208,12,0)</f>
        <v>Logic파트(1팀)</v>
      </c>
      <c r="M150" s="18" t="str">
        <f>VLOOKUP($C150,[2]Sheet1!$A$2:$L$208,2,0)</f>
        <v>김기열</v>
      </c>
      <c r="N150" s="18" t="str">
        <f>VLOOKUP($C150,[2]Sheet1!$A$2:$L$208,11,0)</f>
        <v>기술사무</v>
      </c>
      <c r="P150" s="18" t="str">
        <f>VLOOKUP($C150,[3]Sheet1!$A$2:$L$209,12,0)</f>
        <v>제품개발1파트</v>
      </c>
      <c r="Q150" s="18" t="str">
        <f>VLOOKUP($C150,[3]Sheet1!$A$2:$L$209,2,0)</f>
        <v>김기열</v>
      </c>
      <c r="R150" s="18" t="str">
        <f>VLOOKUP($C150,[3]Sheet1!$A$2:$L$209,11,0)</f>
        <v>기술사무</v>
      </c>
    </row>
    <row r="151" spans="1:18" x14ac:dyDescent="0.3">
      <c r="A151" s="4"/>
      <c r="B151" s="4"/>
      <c r="C151" s="5" t="s">
        <v>848</v>
      </c>
      <c r="D151" s="6" t="str">
        <f t="shared" si="2"/>
        <v>/</v>
      </c>
      <c r="E151" s="6" t="s">
        <v>849</v>
      </c>
      <c r="F151" s="5" t="s">
        <v>37</v>
      </c>
      <c r="H151" s="18" t="s">
        <v>535</v>
      </c>
      <c r="L151" s="18" t="str">
        <f>VLOOKUP($C151,[2]Sheet1!$A$2:$L$208,12,0)</f>
        <v>Logic파트(1팀)</v>
      </c>
      <c r="M151" s="18" t="str">
        <f>VLOOKUP($C151,[2]Sheet1!$A$2:$L$208,2,0)</f>
        <v>정세민</v>
      </c>
      <c r="N151" s="18" t="str">
        <f>VLOOKUP($C151,[2]Sheet1!$A$2:$L$208,11,0)</f>
        <v>기술사무</v>
      </c>
      <c r="P151" s="18" t="str">
        <f>VLOOKUP($C151,[3]Sheet1!$A$2:$L$209,12,0)</f>
        <v>Logic파트</v>
      </c>
      <c r="Q151" s="18" t="str">
        <f>VLOOKUP($C151,[3]Sheet1!$A$2:$L$209,2,0)</f>
        <v>정세민</v>
      </c>
      <c r="R151" s="18" t="str">
        <f>VLOOKUP($C151,[3]Sheet1!$A$2:$L$209,11,0)</f>
        <v>기술사무</v>
      </c>
    </row>
    <row r="152" spans="1:18" x14ac:dyDescent="0.3">
      <c r="A152" s="4" t="s">
        <v>480</v>
      </c>
      <c r="B152" s="4" t="s">
        <v>850</v>
      </c>
      <c r="C152" s="5" t="s">
        <v>851</v>
      </c>
      <c r="D152" s="6" t="str">
        <f t="shared" si="2"/>
        <v>LEE/JUNMIN</v>
      </c>
      <c r="E152" s="6" t="s">
        <v>852</v>
      </c>
      <c r="F152" s="5" t="s">
        <v>41</v>
      </c>
      <c r="H152" s="18" t="s">
        <v>535</v>
      </c>
      <c r="L152" s="18" t="str">
        <f>VLOOKUP($C152,[2]Sheet1!$A$2:$L$208,12,0)</f>
        <v>Analog파트(1팀)</v>
      </c>
      <c r="M152" s="18" t="str">
        <f>VLOOKUP($C152,[2]Sheet1!$A$2:$L$208,2,0)</f>
        <v>이준민</v>
      </c>
      <c r="N152" s="18" t="str">
        <f>VLOOKUP($C152,[2]Sheet1!$A$2:$L$208,11,0)</f>
        <v>기술사무</v>
      </c>
      <c r="P152" s="18" t="str">
        <f>VLOOKUP($C152,[3]Sheet1!$A$2:$L$209,12,0)</f>
        <v>Analog1파트</v>
      </c>
      <c r="Q152" s="18" t="str">
        <f>VLOOKUP($C152,[3]Sheet1!$A$2:$L$209,2,0)</f>
        <v>이준민</v>
      </c>
      <c r="R152" s="18" t="str">
        <f>VLOOKUP($C152,[3]Sheet1!$A$2:$L$209,11,0)</f>
        <v>기술사무</v>
      </c>
    </row>
    <row r="153" spans="1:18" x14ac:dyDescent="0.3">
      <c r="A153" s="4"/>
      <c r="B153" s="4"/>
      <c r="C153" s="5" t="s">
        <v>853</v>
      </c>
      <c r="D153" s="6" t="str">
        <f t="shared" si="2"/>
        <v>/</v>
      </c>
      <c r="E153" s="6" t="s">
        <v>854</v>
      </c>
      <c r="F153" s="5" t="s">
        <v>43</v>
      </c>
      <c r="H153" s="18" t="s">
        <v>535</v>
      </c>
      <c r="L153" s="18" t="str">
        <f>VLOOKUP($C153,[2]Sheet1!$A$2:$L$208,12,0)</f>
        <v>Interface파트(1팀)</v>
      </c>
      <c r="M153" s="18" t="str">
        <f>VLOOKUP($C153,[2]Sheet1!$A$2:$L$208,2,0)</f>
        <v>목정수</v>
      </c>
      <c r="N153" s="18" t="str">
        <f>VLOOKUP($C153,[2]Sheet1!$A$2:$L$208,11,0)</f>
        <v>기술사무</v>
      </c>
      <c r="P153" s="18" t="str">
        <f>VLOOKUP($C153,[3]Sheet1!$A$2:$L$209,12,0)</f>
        <v>Interface파트</v>
      </c>
      <c r="Q153" s="18" t="str">
        <f>VLOOKUP($C153,[3]Sheet1!$A$2:$L$209,2,0)</f>
        <v>목정수</v>
      </c>
      <c r="R153" s="18" t="str">
        <f>VLOOKUP($C153,[3]Sheet1!$A$2:$L$209,11,0)</f>
        <v>기술사무</v>
      </c>
    </row>
    <row r="154" spans="1:18" x14ac:dyDescent="0.3">
      <c r="A154" s="4"/>
      <c r="B154" s="4"/>
      <c r="C154" s="5" t="s">
        <v>855</v>
      </c>
      <c r="D154" s="6" t="str">
        <f t="shared" si="2"/>
        <v>/</v>
      </c>
      <c r="E154" s="6" t="s">
        <v>856</v>
      </c>
      <c r="F154" s="5" t="s">
        <v>37</v>
      </c>
      <c r="H154" s="18" t="s">
        <v>540</v>
      </c>
      <c r="L154" s="18" t="str">
        <f>VLOOKUP($C154,[2]Sheet1!$A$2:$L$208,12,0)</f>
        <v>Logic파트(2팀)</v>
      </c>
      <c r="M154" s="18" t="str">
        <f>VLOOKUP($C154,[2]Sheet1!$A$2:$L$208,2,0)</f>
        <v>한시연</v>
      </c>
      <c r="N154" s="18" t="str">
        <f>VLOOKUP($C154,[2]Sheet1!$A$2:$L$208,11,0)</f>
        <v>기술사무</v>
      </c>
      <c r="P154" s="18" t="str">
        <f>VLOOKUP($C154,[3]Sheet1!$A$2:$L$209,12,0)</f>
        <v>Logic파트</v>
      </c>
      <c r="Q154" s="18" t="str">
        <f>VLOOKUP($C154,[3]Sheet1!$A$2:$L$209,2,0)</f>
        <v>한시연</v>
      </c>
      <c r="R154" s="18" t="str">
        <f>VLOOKUP($C154,[3]Sheet1!$A$2:$L$209,11,0)</f>
        <v>기술사무</v>
      </c>
    </row>
    <row r="155" spans="1:18" x14ac:dyDescent="0.3">
      <c r="A155" s="4"/>
      <c r="B155" s="4"/>
      <c r="C155" s="5" t="s">
        <v>857</v>
      </c>
      <c r="D155" s="6" t="str">
        <f t="shared" si="2"/>
        <v>/</v>
      </c>
      <c r="E155" s="6" t="s">
        <v>858</v>
      </c>
      <c r="F155" s="5" t="s">
        <v>38</v>
      </c>
      <c r="H155" s="18" t="s">
        <v>540</v>
      </c>
      <c r="L155" s="18" t="str">
        <f>VLOOKUP($C155,[2]Sheet1!$A$2:$L$208,12,0)</f>
        <v>Digital IP파트(2팀)</v>
      </c>
      <c r="M155" s="18" t="str">
        <f>VLOOKUP($C155,[2]Sheet1!$A$2:$L$208,2,0)</f>
        <v>최효정</v>
      </c>
      <c r="N155" s="18" t="str">
        <f>VLOOKUP($C155,[2]Sheet1!$A$2:$L$208,11,0)</f>
        <v>기술사무</v>
      </c>
      <c r="P155" s="18" t="str">
        <f>VLOOKUP($C155,[3]Sheet1!$A$2:$L$209,12,0)</f>
        <v>Digital IP파트</v>
      </c>
      <c r="Q155" s="18" t="str">
        <f>VLOOKUP($C155,[3]Sheet1!$A$2:$L$209,2,0)</f>
        <v>최효정</v>
      </c>
      <c r="R155" s="18" t="str">
        <f>VLOOKUP($C155,[3]Sheet1!$A$2:$L$209,11,0)</f>
        <v>기술사무</v>
      </c>
    </row>
    <row r="156" spans="1:18" x14ac:dyDescent="0.3">
      <c r="A156" s="4"/>
      <c r="B156" s="4"/>
      <c r="C156" s="5" t="s">
        <v>859</v>
      </c>
      <c r="D156" s="6" t="str">
        <f t="shared" si="2"/>
        <v>/</v>
      </c>
      <c r="E156" s="6" t="s">
        <v>860</v>
      </c>
      <c r="F156" s="5" t="s">
        <v>34</v>
      </c>
      <c r="H156" s="18" t="s">
        <v>540</v>
      </c>
      <c r="L156" s="18" t="str">
        <f>VLOOKUP($C156,[2]Sheet1!$A$2:$L$208,12,0)</f>
        <v>Analog파트(2팀)</v>
      </c>
      <c r="M156" s="18" t="str">
        <f>VLOOKUP($C156,[2]Sheet1!$A$2:$L$208,2,0)</f>
        <v>김봉수</v>
      </c>
      <c r="N156" s="18" t="str">
        <f>VLOOKUP($C156,[2]Sheet1!$A$2:$L$208,11,0)</f>
        <v>기술사무</v>
      </c>
      <c r="P156" s="18" t="str">
        <f>VLOOKUP($C156,[3]Sheet1!$A$2:$L$209,12,0)</f>
        <v>제품개발2파트</v>
      </c>
      <c r="Q156" s="18" t="str">
        <f>VLOOKUP($C156,[3]Sheet1!$A$2:$L$209,2,0)</f>
        <v>김봉수</v>
      </c>
      <c r="R156" s="18" t="str">
        <f>VLOOKUP($C156,[3]Sheet1!$A$2:$L$209,11,0)</f>
        <v>기술사무</v>
      </c>
    </row>
    <row r="157" spans="1:18" x14ac:dyDescent="0.3">
      <c r="A157" s="4"/>
      <c r="B157" s="4"/>
      <c r="C157" s="5" t="s">
        <v>861</v>
      </c>
      <c r="D157" s="6" t="str">
        <f t="shared" si="2"/>
        <v>/</v>
      </c>
      <c r="E157" s="6" t="s">
        <v>862</v>
      </c>
      <c r="F157" s="5" t="s">
        <v>774</v>
      </c>
      <c r="H157" s="18" t="s">
        <v>50</v>
      </c>
      <c r="L157" s="18" t="str">
        <f>VLOOKUP($C157,[2]Sheet1!$A$2:$L$208,12,0)</f>
        <v>2파트</v>
      </c>
      <c r="M157" s="18" t="str">
        <f>VLOOKUP($C157,[2]Sheet1!$A$2:$L$208,2,0)</f>
        <v>한유리</v>
      </c>
      <c r="N157" s="18" t="str">
        <f>VLOOKUP($C157,[2]Sheet1!$A$2:$L$208,11,0)</f>
        <v>기술사무</v>
      </c>
      <c r="P157" s="18" t="str">
        <f>VLOOKUP($C157,[3]Sheet1!$A$2:$L$209,12,0)</f>
        <v>2파트</v>
      </c>
      <c r="Q157" s="18" t="str">
        <f>VLOOKUP($C157,[3]Sheet1!$A$2:$L$209,2,0)</f>
        <v>한유리</v>
      </c>
      <c r="R157" s="18" t="str">
        <f>VLOOKUP($C157,[3]Sheet1!$A$2:$L$209,11,0)</f>
        <v>기술사무</v>
      </c>
    </row>
    <row r="158" spans="1:18" x14ac:dyDescent="0.3">
      <c r="A158" s="4"/>
      <c r="B158" s="4"/>
      <c r="C158" s="5" t="s">
        <v>863</v>
      </c>
      <c r="D158" s="6" t="str">
        <f t="shared" si="2"/>
        <v>/</v>
      </c>
      <c r="E158" s="6" t="s">
        <v>864</v>
      </c>
      <c r="F158" s="5" t="s">
        <v>607</v>
      </c>
      <c r="H158" s="18" t="s">
        <v>50</v>
      </c>
      <c r="L158" s="18" t="str">
        <f>VLOOKUP($C158,[2]Sheet1!$A$2:$L$208,12,0)</f>
        <v>1파트</v>
      </c>
      <c r="M158" s="18" t="str">
        <f>VLOOKUP($C158,[2]Sheet1!$A$2:$L$208,2,0)</f>
        <v>김채원</v>
      </c>
      <c r="N158" s="18" t="str">
        <f>VLOOKUP($C158,[2]Sheet1!$A$2:$L$208,11,0)</f>
        <v>기술사무</v>
      </c>
      <c r="P158" s="18" t="str">
        <f>VLOOKUP($C158,[3]Sheet1!$A$2:$L$209,12,0)</f>
        <v>1파트</v>
      </c>
      <c r="Q158" s="18" t="str">
        <f>VLOOKUP($C158,[3]Sheet1!$A$2:$L$209,2,0)</f>
        <v>김채원</v>
      </c>
      <c r="R158" s="18" t="str">
        <f>VLOOKUP($C158,[3]Sheet1!$A$2:$L$209,11,0)</f>
        <v>기술사무</v>
      </c>
    </row>
    <row r="159" spans="1:18" x14ac:dyDescent="0.3">
      <c r="A159" s="4"/>
      <c r="B159" s="4"/>
      <c r="C159" s="5" t="s">
        <v>865</v>
      </c>
      <c r="D159" s="6" t="str">
        <f t="shared" si="2"/>
        <v>/</v>
      </c>
      <c r="E159" s="6" t="s">
        <v>866</v>
      </c>
      <c r="F159" s="5" t="s">
        <v>552</v>
      </c>
      <c r="H159" s="18" t="s">
        <v>552</v>
      </c>
      <c r="L159" s="18" t="str">
        <f>VLOOKUP($C159,[2]Sheet1!$A$2:$L$208,12,0)</f>
        <v>재무관리팀</v>
      </c>
      <c r="M159" s="18" t="str">
        <f>VLOOKUP($C159,[2]Sheet1!$A$2:$L$208,2,0)</f>
        <v>주유진</v>
      </c>
      <c r="N159" s="18" t="str">
        <f>VLOOKUP($C159,[2]Sheet1!$A$2:$L$208,11,0)</f>
        <v>기술사무</v>
      </c>
      <c r="P159" s="18" t="str">
        <f>VLOOKUP($C159,[3]Sheet1!$A$2:$L$209,12,0)</f>
        <v>재무관리팀</v>
      </c>
      <c r="Q159" s="18" t="str">
        <f>VLOOKUP($C159,[3]Sheet1!$A$2:$L$209,2,0)</f>
        <v>주유진</v>
      </c>
      <c r="R159" s="18" t="str">
        <f>VLOOKUP($C159,[3]Sheet1!$A$2:$L$209,11,0)</f>
        <v>기술사무</v>
      </c>
    </row>
    <row r="160" spans="1:18" x14ac:dyDescent="0.3">
      <c r="A160" s="4"/>
      <c r="B160" s="4"/>
      <c r="C160" s="5" t="s">
        <v>867</v>
      </c>
      <c r="D160" s="6" t="str">
        <f t="shared" si="2"/>
        <v>/</v>
      </c>
      <c r="E160" s="6" t="s">
        <v>868</v>
      </c>
      <c r="F160" s="5" t="s">
        <v>9</v>
      </c>
      <c r="H160" s="18" t="s">
        <v>9</v>
      </c>
      <c r="L160" s="18" t="str">
        <f>VLOOKUP($C160,[2]Sheet1!$A$2:$L$208,12,0)</f>
        <v>영업팀</v>
      </c>
      <c r="M160" s="18" t="str">
        <f>VLOOKUP($C160,[2]Sheet1!$A$2:$L$208,2,0)</f>
        <v>문보영</v>
      </c>
      <c r="N160" s="18" t="str">
        <f>VLOOKUP($C160,[2]Sheet1!$A$2:$L$208,11,0)</f>
        <v>기술사무</v>
      </c>
      <c r="P160" s="18" t="str">
        <f>VLOOKUP($C160,[3]Sheet1!$A$2:$L$209,12,0)</f>
        <v>영업팀</v>
      </c>
      <c r="Q160" s="18" t="str">
        <f>VLOOKUP($C160,[3]Sheet1!$A$2:$L$209,2,0)</f>
        <v>문보영</v>
      </c>
      <c r="R160" s="18" t="str">
        <f>VLOOKUP($C160,[3]Sheet1!$A$2:$L$209,11,0)</f>
        <v>기술사무</v>
      </c>
    </row>
    <row r="161" spans="1:18" x14ac:dyDescent="0.3">
      <c r="A161" s="4" t="s">
        <v>480</v>
      </c>
      <c r="B161" s="4" t="s">
        <v>869</v>
      </c>
      <c r="C161" s="5" t="s">
        <v>870</v>
      </c>
      <c r="D161" s="6" t="str">
        <f t="shared" si="2"/>
        <v>LEE/KWANGSU</v>
      </c>
      <c r="E161" s="6" t="s">
        <v>871</v>
      </c>
      <c r="F161" s="5" t="s">
        <v>5</v>
      </c>
      <c r="H161" s="18" t="s">
        <v>5</v>
      </c>
      <c r="L161" s="18" t="str">
        <f>VLOOKUP($C161,[2]Sheet1!$A$2:$L$208,12,0)</f>
        <v>영업담당</v>
      </c>
      <c r="M161" s="18" t="str">
        <f>VLOOKUP($C161,[2]Sheet1!$A$2:$L$208,2,0)</f>
        <v>이광수</v>
      </c>
      <c r="N161" s="18" t="str">
        <f>VLOOKUP($C161,[2]Sheet1!$A$2:$L$208,11,0)</f>
        <v>임원</v>
      </c>
      <c r="P161" s="18" t="str">
        <f>VLOOKUP($C161,[3]Sheet1!$A$2:$L$209,12,0)</f>
        <v>영업담당</v>
      </c>
      <c r="Q161" s="18" t="str">
        <f>VLOOKUP($C161,[3]Sheet1!$A$2:$L$209,2,0)</f>
        <v>이광수</v>
      </c>
      <c r="R161" s="18" t="str">
        <f>VLOOKUP($C161,[3]Sheet1!$A$2:$L$209,11,0)</f>
        <v>임원</v>
      </c>
    </row>
    <row r="162" spans="1:18" x14ac:dyDescent="0.3">
      <c r="A162" s="4"/>
      <c r="B162" s="4"/>
      <c r="C162" s="5" t="s">
        <v>872</v>
      </c>
      <c r="D162" s="6" t="str">
        <f t="shared" si="2"/>
        <v>/</v>
      </c>
      <c r="E162" s="6" t="s">
        <v>873</v>
      </c>
      <c r="F162" s="5" t="e">
        <v>#N/A</v>
      </c>
      <c r="H162" s="18" t="s">
        <v>593</v>
      </c>
      <c r="L162" s="18" t="str">
        <f>VLOOKUP($C162,[2]Sheet1!$A$2:$L$208,12,0)</f>
        <v>Layout팀</v>
      </c>
      <c r="M162" s="18" t="str">
        <f>VLOOKUP($C162,[2]Sheet1!$A$2:$L$208,2,0)</f>
        <v>황준우</v>
      </c>
      <c r="N162" s="18" t="str">
        <f>VLOOKUP($C162,[2]Sheet1!$A$2:$L$208,11,0)</f>
        <v>기술사무</v>
      </c>
      <c r="P162" s="18" t="e">
        <f>VLOOKUP($C162,[3]Sheet1!$A$2:$L$209,12,0)</f>
        <v>#N/A</v>
      </c>
      <c r="Q162" s="18" t="e">
        <f>VLOOKUP($C162,[3]Sheet1!$A$2:$L$209,2,0)</f>
        <v>#N/A</v>
      </c>
      <c r="R162" s="18" t="e">
        <f>VLOOKUP($C162,[3]Sheet1!$A$2:$L$209,11,0)</f>
        <v>#N/A</v>
      </c>
    </row>
    <row r="163" spans="1:18" x14ac:dyDescent="0.3">
      <c r="A163" s="4"/>
      <c r="B163" s="4"/>
      <c r="C163" s="5" t="s">
        <v>874</v>
      </c>
      <c r="D163" s="6" t="str">
        <f t="shared" si="2"/>
        <v>/</v>
      </c>
      <c r="E163" s="6" t="s">
        <v>875</v>
      </c>
      <c r="F163" s="5" t="s">
        <v>38</v>
      </c>
      <c r="H163" s="18" t="s">
        <v>540</v>
      </c>
      <c r="L163" s="18" t="str">
        <f>VLOOKUP($C163,[2]Sheet1!$A$2:$L$208,12,0)</f>
        <v>Digital IP파트(2팀)</v>
      </c>
      <c r="M163" s="18" t="str">
        <f>VLOOKUP($C163,[2]Sheet1!$A$2:$L$208,2,0)</f>
        <v>진현우</v>
      </c>
      <c r="N163" s="18" t="str">
        <f>VLOOKUP($C163,[2]Sheet1!$A$2:$L$208,11,0)</f>
        <v>기술사무</v>
      </c>
      <c r="P163" s="18" t="str">
        <f>VLOOKUP($C163,[3]Sheet1!$A$2:$L$209,12,0)</f>
        <v>Digital IP파트</v>
      </c>
      <c r="Q163" s="18" t="str">
        <f>VLOOKUP($C163,[3]Sheet1!$A$2:$L$209,2,0)</f>
        <v>진현우</v>
      </c>
      <c r="R163" s="18" t="str">
        <f>VLOOKUP($C163,[3]Sheet1!$A$2:$L$209,11,0)</f>
        <v>기술사무</v>
      </c>
    </row>
    <row r="164" spans="1:18" x14ac:dyDescent="0.3">
      <c r="A164" s="4"/>
      <c r="B164" s="4"/>
      <c r="C164" s="5" t="s">
        <v>876</v>
      </c>
      <c r="D164" s="6" t="str">
        <f t="shared" si="2"/>
        <v>/</v>
      </c>
      <c r="E164" s="6" t="s">
        <v>877</v>
      </c>
      <c r="F164" s="5" t="s">
        <v>37</v>
      </c>
      <c r="H164" s="18" t="s">
        <v>540</v>
      </c>
      <c r="L164" s="18" t="str">
        <f>VLOOKUP($C164,[2]Sheet1!$A$2:$L$208,12,0)</f>
        <v>Logic파트(2팀)</v>
      </c>
      <c r="M164" s="18" t="str">
        <f>VLOOKUP($C164,[2]Sheet1!$A$2:$L$208,2,0)</f>
        <v>최재봉</v>
      </c>
      <c r="N164" s="18" t="str">
        <f>VLOOKUP($C164,[2]Sheet1!$A$2:$L$208,11,0)</f>
        <v>기술사무</v>
      </c>
      <c r="P164" s="18" t="str">
        <f>VLOOKUP($C164,[3]Sheet1!$A$2:$L$209,12,0)</f>
        <v>Logic파트</v>
      </c>
      <c r="Q164" s="18" t="str">
        <f>VLOOKUP($C164,[3]Sheet1!$A$2:$L$209,2,0)</f>
        <v>최재봉</v>
      </c>
      <c r="R164" s="18" t="str">
        <f>VLOOKUP($C164,[3]Sheet1!$A$2:$L$209,11,0)</f>
        <v>기술사무</v>
      </c>
    </row>
    <row r="165" spans="1:18" x14ac:dyDescent="0.3">
      <c r="A165" s="4"/>
      <c r="B165" s="4"/>
      <c r="C165" s="5" t="s">
        <v>878</v>
      </c>
      <c r="D165" s="6" t="str">
        <f t="shared" si="2"/>
        <v>/</v>
      </c>
      <c r="E165" s="6" t="s">
        <v>879</v>
      </c>
      <c r="F165" s="5" t="s">
        <v>38</v>
      </c>
      <c r="H165" s="18" t="s">
        <v>540</v>
      </c>
      <c r="L165" s="18" t="str">
        <f>VLOOKUP($C165,[2]Sheet1!$A$2:$L$208,12,0)</f>
        <v>Digital IP파트(2팀)</v>
      </c>
      <c r="M165" s="18" t="str">
        <f>VLOOKUP($C165,[2]Sheet1!$A$2:$L$208,2,0)</f>
        <v>이상우</v>
      </c>
      <c r="N165" s="18" t="str">
        <f>VLOOKUP($C165,[2]Sheet1!$A$2:$L$208,11,0)</f>
        <v>기술사무</v>
      </c>
      <c r="P165" s="18" t="str">
        <f>VLOOKUP($C165,[3]Sheet1!$A$2:$L$209,12,0)</f>
        <v>Digital IP파트</v>
      </c>
      <c r="Q165" s="18" t="str">
        <f>VLOOKUP($C165,[3]Sheet1!$A$2:$L$209,2,0)</f>
        <v>이상우</v>
      </c>
      <c r="R165" s="18" t="str">
        <f>VLOOKUP($C165,[3]Sheet1!$A$2:$L$209,11,0)</f>
        <v>기술사무</v>
      </c>
    </row>
    <row r="166" spans="1:18" x14ac:dyDescent="0.3">
      <c r="A166" s="4"/>
      <c r="B166" s="4"/>
      <c r="C166" s="5" t="s">
        <v>880</v>
      </c>
      <c r="D166" s="6" t="str">
        <f t="shared" si="2"/>
        <v>/</v>
      </c>
      <c r="E166" s="6" t="s">
        <v>881</v>
      </c>
      <c r="F166" s="5" t="s">
        <v>37</v>
      </c>
      <c r="H166" s="18" t="s">
        <v>540</v>
      </c>
      <c r="L166" s="18" t="str">
        <f>VLOOKUP($C166,[2]Sheet1!$A$2:$L$208,12,0)</f>
        <v>Logic파트(2팀)</v>
      </c>
      <c r="M166" s="18" t="str">
        <f>VLOOKUP($C166,[2]Sheet1!$A$2:$L$208,2,0)</f>
        <v>박휘수</v>
      </c>
      <c r="N166" s="18" t="str">
        <f>VLOOKUP($C166,[2]Sheet1!$A$2:$L$208,11,0)</f>
        <v>기술사무</v>
      </c>
      <c r="P166" s="18" t="str">
        <f>VLOOKUP($C166,[3]Sheet1!$A$2:$L$209,12,0)</f>
        <v>Logic파트</v>
      </c>
      <c r="Q166" s="18" t="str">
        <f>VLOOKUP($C166,[3]Sheet1!$A$2:$L$209,2,0)</f>
        <v>박휘수</v>
      </c>
      <c r="R166" s="18" t="str">
        <f>VLOOKUP($C166,[3]Sheet1!$A$2:$L$209,11,0)</f>
        <v>기술사무</v>
      </c>
    </row>
    <row r="167" spans="1:18" x14ac:dyDescent="0.3">
      <c r="A167" s="4"/>
      <c r="B167" s="4"/>
      <c r="C167" s="5" t="s">
        <v>882</v>
      </c>
      <c r="D167" s="6" t="str">
        <f t="shared" si="2"/>
        <v>/</v>
      </c>
      <c r="E167" s="6" t="s">
        <v>883</v>
      </c>
      <c r="F167" s="5" t="s">
        <v>593</v>
      </c>
      <c r="H167" s="18" t="s">
        <v>593</v>
      </c>
      <c r="L167" s="18" t="str">
        <f>VLOOKUP($C167,[2]Sheet1!$A$2:$L$208,12,0)</f>
        <v>Layout팀</v>
      </c>
      <c r="M167" s="18" t="str">
        <f>VLOOKUP($C167,[2]Sheet1!$A$2:$L$208,2,0)</f>
        <v>김영웅</v>
      </c>
      <c r="N167" s="18" t="str">
        <f>VLOOKUP($C167,[2]Sheet1!$A$2:$L$208,11,0)</f>
        <v>기술사무</v>
      </c>
      <c r="P167" s="18" t="str">
        <f>VLOOKUP($C167,[3]Sheet1!$A$2:$L$209,12,0)</f>
        <v>Layout팀</v>
      </c>
      <c r="Q167" s="18" t="str">
        <f>VLOOKUP($C167,[3]Sheet1!$A$2:$L$209,2,0)</f>
        <v>김영웅</v>
      </c>
      <c r="R167" s="18" t="str">
        <f>VLOOKUP($C167,[3]Sheet1!$A$2:$L$209,11,0)</f>
        <v>기술사무</v>
      </c>
    </row>
    <row r="168" spans="1:18" x14ac:dyDescent="0.3">
      <c r="A168" s="4"/>
      <c r="B168" s="4"/>
      <c r="C168" s="5" t="s">
        <v>884</v>
      </c>
      <c r="D168" s="6" t="str">
        <f t="shared" si="2"/>
        <v>/</v>
      </c>
      <c r="E168" s="6" t="s">
        <v>885</v>
      </c>
      <c r="F168" s="5" t="s">
        <v>34</v>
      </c>
      <c r="H168" s="18" t="s">
        <v>540</v>
      </c>
      <c r="L168" s="18" t="str">
        <f>VLOOKUP($C168,[2]Sheet1!$A$2:$L$208,12,0)</f>
        <v>Analog파트(2팀)</v>
      </c>
      <c r="M168" s="18" t="str">
        <f>VLOOKUP($C168,[2]Sheet1!$A$2:$L$208,2,0)</f>
        <v>이명학</v>
      </c>
      <c r="N168" s="18" t="str">
        <f>VLOOKUP($C168,[2]Sheet1!$A$2:$L$208,11,0)</f>
        <v>기술사무</v>
      </c>
      <c r="P168" s="18" t="str">
        <f>VLOOKUP($C168,[3]Sheet1!$A$2:$L$209,12,0)</f>
        <v>제품개발2파트</v>
      </c>
      <c r="Q168" s="18" t="str">
        <f>VLOOKUP($C168,[3]Sheet1!$A$2:$L$209,2,0)</f>
        <v>이명학</v>
      </c>
      <c r="R168" s="18" t="str">
        <f>VLOOKUP($C168,[3]Sheet1!$A$2:$L$209,11,0)</f>
        <v>기술사무</v>
      </c>
    </row>
    <row r="169" spans="1:18" x14ac:dyDescent="0.3">
      <c r="A169" s="4" t="s">
        <v>521</v>
      </c>
      <c r="B169" s="4" t="s">
        <v>886</v>
      </c>
      <c r="C169" s="5" t="s">
        <v>887</v>
      </c>
      <c r="D169" s="6" t="str">
        <f t="shared" si="2"/>
        <v>KIM/DAEBONG</v>
      </c>
      <c r="E169" s="6" t="s">
        <v>888</v>
      </c>
      <c r="F169" s="5" t="s">
        <v>46</v>
      </c>
      <c r="H169" s="18" t="s">
        <v>889</v>
      </c>
      <c r="L169" s="18" t="str">
        <f>VLOOKUP($C169,[2]Sheet1!$A$2:$L$208,12,0)</f>
        <v>PMIC사업담당</v>
      </c>
      <c r="M169" s="18" t="str">
        <f>VLOOKUP($C169,[2]Sheet1!$A$2:$L$208,2,0)</f>
        <v>김대봉</v>
      </c>
      <c r="N169" s="18" t="str">
        <f>VLOOKUP($C169,[2]Sheet1!$A$2:$L$208,11,0)</f>
        <v>기술사무</v>
      </c>
      <c r="P169" s="18" t="str">
        <f>VLOOKUP($C169,[3]Sheet1!$A$2:$L$209,12,0)</f>
        <v>PMIC사업담당</v>
      </c>
      <c r="Q169" s="18" t="str">
        <f>VLOOKUP($C169,[3]Sheet1!$A$2:$L$209,2,0)</f>
        <v>김대봉</v>
      </c>
      <c r="R169" s="18" t="str">
        <f>VLOOKUP($C169,[3]Sheet1!$A$2:$L$209,11,0)</f>
        <v>기술사무</v>
      </c>
    </row>
    <row r="170" spans="1:18" x14ac:dyDescent="0.3">
      <c r="A170" s="4"/>
      <c r="B170" s="4"/>
      <c r="C170" s="5" t="s">
        <v>890</v>
      </c>
      <c r="D170" s="6" t="str">
        <f t="shared" si="2"/>
        <v>/</v>
      </c>
      <c r="E170" s="6" t="s">
        <v>891</v>
      </c>
      <c r="F170" s="5" t="s">
        <v>48</v>
      </c>
      <c r="H170" s="18" t="s">
        <v>48</v>
      </c>
      <c r="L170" s="18" t="str">
        <f>VLOOKUP($C170,[2]Sheet1!$A$2:$L$208,12,0)</f>
        <v>PMIC마케팅파트</v>
      </c>
      <c r="M170" s="18" t="str">
        <f>VLOOKUP($C170,[2]Sheet1!$A$2:$L$208,2,0)</f>
        <v>문경록</v>
      </c>
      <c r="N170" s="18" t="str">
        <f>VLOOKUP($C170,[2]Sheet1!$A$2:$L$208,11,0)</f>
        <v>기술사무</v>
      </c>
      <c r="P170" s="18" t="str">
        <f>VLOOKUP($C170,[3]Sheet1!$A$2:$L$209,12,0)</f>
        <v>PMIC마케팅파트</v>
      </c>
      <c r="Q170" s="18" t="str">
        <f>VLOOKUP($C170,[3]Sheet1!$A$2:$L$209,2,0)</f>
        <v>문경록</v>
      </c>
      <c r="R170" s="18" t="str">
        <f>VLOOKUP($C170,[3]Sheet1!$A$2:$L$209,11,0)</f>
        <v>기술사무</v>
      </c>
    </row>
    <row r="171" spans="1:18" x14ac:dyDescent="0.3">
      <c r="A171" s="4" t="s">
        <v>892</v>
      </c>
      <c r="B171" s="4" t="s">
        <v>893</v>
      </c>
      <c r="C171" s="5" t="s">
        <v>894</v>
      </c>
      <c r="D171" s="6" t="str">
        <f t="shared" si="2"/>
        <v>LI/DONGMEI</v>
      </c>
      <c r="E171" s="6" t="s">
        <v>895</v>
      </c>
      <c r="F171" s="5" t="s">
        <v>7</v>
      </c>
      <c r="H171" s="18" t="s">
        <v>7</v>
      </c>
      <c r="L171" s="18" t="str">
        <f>VLOOKUP($C171,[2]Sheet1!$A$2:$L$208,12,0)</f>
        <v>DDI마케팅파트</v>
      </c>
      <c r="M171" s="18" t="str">
        <f>VLOOKUP($C171,[2]Sheet1!$A$2:$L$208,2,0)</f>
        <v>이동매</v>
      </c>
      <c r="N171" s="18" t="str">
        <f>VLOOKUP($C171,[2]Sheet1!$A$2:$L$208,11,0)</f>
        <v>기술사무</v>
      </c>
      <c r="P171" s="18" t="str">
        <f>VLOOKUP($C171,[3]Sheet1!$A$2:$L$209,12,0)</f>
        <v>DDI마케팅파트</v>
      </c>
      <c r="Q171" s="18" t="str">
        <f>VLOOKUP($C171,[3]Sheet1!$A$2:$L$209,2,0)</f>
        <v>이동매</v>
      </c>
      <c r="R171" s="18" t="str">
        <f>VLOOKUP($C171,[3]Sheet1!$A$2:$L$209,11,0)</f>
        <v>기술사무</v>
      </c>
    </row>
    <row r="172" spans="1:18" x14ac:dyDescent="0.3">
      <c r="A172" s="18" t="s">
        <v>493</v>
      </c>
      <c r="B172" s="18" t="s">
        <v>896</v>
      </c>
      <c r="C172" s="5" t="s">
        <v>897</v>
      </c>
      <c r="D172" s="6" t="str">
        <f t="shared" si="2"/>
        <v>CHOI/SANGSHIN</v>
      </c>
      <c r="E172" s="6" t="s">
        <v>289</v>
      </c>
      <c r="F172" s="5" t="s">
        <v>35</v>
      </c>
      <c r="H172" s="18" t="s">
        <v>540</v>
      </c>
      <c r="L172" s="18" t="str">
        <f>VLOOKUP($C172,[2]Sheet1!$A$2:$L$208,12,0)</f>
        <v>Digital IP파트(2팀)</v>
      </c>
      <c r="M172" s="18" t="str">
        <f>VLOOKUP($C172,[2]Sheet1!$A$2:$L$208,2,0)</f>
        <v>최상신</v>
      </c>
      <c r="N172" s="18" t="str">
        <f>VLOOKUP($C172,[2]Sheet1!$A$2:$L$208,11,0)</f>
        <v>기술사무</v>
      </c>
      <c r="P172" s="18" t="str">
        <f>VLOOKUP($C172,[3]Sheet1!$A$2:$L$209,12,0)</f>
        <v>Logic개발팀</v>
      </c>
      <c r="Q172" s="18" t="str">
        <f>VLOOKUP($C172,[3]Sheet1!$A$2:$L$209,2,0)</f>
        <v>최상신</v>
      </c>
      <c r="R172" s="18" t="str">
        <f>VLOOKUP($C172,[3]Sheet1!$A$2:$L$209,11,0)</f>
        <v>기술사무</v>
      </c>
    </row>
    <row r="173" spans="1:18" x14ac:dyDescent="0.3">
      <c r="A173" s="18" t="s">
        <v>497</v>
      </c>
      <c r="B173" s="18" t="s">
        <v>898</v>
      </c>
      <c r="C173" s="5" t="s">
        <v>899</v>
      </c>
      <c r="D173" s="17" t="str">
        <f t="shared" si="2"/>
        <v>PARK/CHANGSUN</v>
      </c>
      <c r="E173" s="13" t="s">
        <v>900</v>
      </c>
      <c r="F173" s="13" t="s">
        <v>39</v>
      </c>
      <c r="H173" s="18" t="s">
        <v>535</v>
      </c>
      <c r="L173" s="18" t="str">
        <f>VLOOKUP($C173,[2]Sheet1!$A$2:$L$208,12,0)</f>
        <v>Logic파트(1팀)</v>
      </c>
      <c r="M173" s="18" t="str">
        <f>VLOOKUP($C173,[2]Sheet1!$A$2:$L$208,2,0)</f>
        <v>박창선</v>
      </c>
      <c r="N173" s="18" t="str">
        <f>VLOOKUP($C173,[2]Sheet1!$A$2:$L$208,11,0)</f>
        <v>기술사무</v>
      </c>
      <c r="P173" s="18" t="str">
        <f>VLOOKUP($C173,[3]Sheet1!$A$2:$L$209,12,0)</f>
        <v>Analog개발팀</v>
      </c>
      <c r="Q173" s="18" t="str">
        <f>VLOOKUP($C173,[3]Sheet1!$A$2:$L$209,2,0)</f>
        <v>박창선</v>
      </c>
      <c r="R173" s="18" t="str">
        <f>VLOOKUP($C173,[3]Sheet1!$A$2:$L$209,11,0)</f>
        <v>기술사무</v>
      </c>
    </row>
    <row r="174" spans="1:18" x14ac:dyDescent="0.3">
      <c r="C174" s="5" t="s">
        <v>901</v>
      </c>
      <c r="D174" s="17" t="str">
        <f t="shared" si="2"/>
        <v>/</v>
      </c>
      <c r="E174" s="13" t="s">
        <v>902</v>
      </c>
      <c r="F174" s="13" t="s">
        <v>774</v>
      </c>
      <c r="H174" s="18" t="s">
        <v>50</v>
      </c>
      <c r="L174" s="18" t="str">
        <f>VLOOKUP($C174,[2]Sheet1!$A$2:$L$208,12,0)</f>
        <v>2파트</v>
      </c>
      <c r="M174" s="18" t="str">
        <f>VLOOKUP($C174,[2]Sheet1!$A$2:$L$208,2,0)</f>
        <v>김정현</v>
      </c>
      <c r="N174" s="18" t="str">
        <f>VLOOKUP($C174,[2]Sheet1!$A$2:$L$208,11,0)</f>
        <v>기술사무</v>
      </c>
      <c r="P174" s="18" t="str">
        <f>VLOOKUP($C174,[3]Sheet1!$A$2:$L$209,12,0)</f>
        <v>2파트</v>
      </c>
      <c r="Q174" s="18" t="str">
        <f>VLOOKUP($C174,[3]Sheet1!$A$2:$L$209,2,0)</f>
        <v>김정현</v>
      </c>
      <c r="R174" s="18" t="str">
        <f>VLOOKUP($C174,[3]Sheet1!$A$2:$L$209,11,0)</f>
        <v>기술사무</v>
      </c>
    </row>
    <row r="175" spans="1:18" x14ac:dyDescent="0.3">
      <c r="C175" s="5" t="s">
        <v>903</v>
      </c>
      <c r="D175" s="17" t="str">
        <f t="shared" si="2"/>
        <v>/</v>
      </c>
      <c r="E175" s="13" t="s">
        <v>904</v>
      </c>
      <c r="F175" s="13" t="s">
        <v>23</v>
      </c>
      <c r="H175" s="18" t="s">
        <v>23</v>
      </c>
      <c r="L175" s="18" t="str">
        <f>VLOOKUP($C175,[2]Sheet1!$A$2:$L$208,12,0)</f>
        <v>제품기술팀</v>
      </c>
      <c r="M175" s="18" t="str">
        <f>VLOOKUP($C175,[2]Sheet1!$A$2:$L$208,2,0)</f>
        <v>홍다솜</v>
      </c>
      <c r="N175" s="18" t="str">
        <f>VLOOKUP($C175,[2]Sheet1!$A$2:$L$208,11,0)</f>
        <v>기술사무</v>
      </c>
      <c r="P175" s="18" t="str">
        <f>VLOOKUP($C175,[3]Sheet1!$A$2:$L$209,12,0)</f>
        <v>제품기술팀</v>
      </c>
      <c r="Q175" s="18" t="str">
        <f>VLOOKUP($C175,[3]Sheet1!$A$2:$L$209,2,0)</f>
        <v>홍다솜</v>
      </c>
      <c r="R175" s="18" t="str">
        <f>VLOOKUP($C175,[3]Sheet1!$A$2:$L$209,11,0)</f>
        <v>기술사무</v>
      </c>
    </row>
    <row r="176" spans="1:18" x14ac:dyDescent="0.3">
      <c r="C176" s="5" t="s">
        <v>905</v>
      </c>
      <c r="D176" s="17" t="str">
        <f t="shared" si="2"/>
        <v>/</v>
      </c>
      <c r="E176" s="13" t="s">
        <v>906</v>
      </c>
      <c r="F176" s="13" t="e">
        <v>#N/A</v>
      </c>
      <c r="H176" s="18" t="s">
        <v>535</v>
      </c>
      <c r="L176" s="18" t="str">
        <f>VLOOKUP($C176,[2]Sheet1!$A$2:$L$208,12,0)</f>
        <v>Logic파트(1팀)</v>
      </c>
      <c r="M176" s="18" t="str">
        <f>VLOOKUP($C176,[2]Sheet1!$A$2:$L$208,2,0)</f>
        <v>유세현</v>
      </c>
      <c r="N176" s="18" t="str">
        <f>VLOOKUP($C176,[2]Sheet1!$A$2:$L$208,11,0)</f>
        <v>기술사무</v>
      </c>
      <c r="P176" s="18" t="e">
        <f>VLOOKUP($C176,[3]Sheet1!$A$2:$L$209,12,0)</f>
        <v>#N/A</v>
      </c>
      <c r="Q176" s="18" t="e">
        <f>VLOOKUP($C176,[3]Sheet1!$A$2:$L$209,2,0)</f>
        <v>#N/A</v>
      </c>
      <c r="R176" s="18" t="e">
        <f>VLOOKUP($C176,[3]Sheet1!$A$2:$L$209,11,0)</f>
        <v>#N/A</v>
      </c>
    </row>
    <row r="177" spans="1:18" x14ac:dyDescent="0.3">
      <c r="C177" s="5" t="s">
        <v>907</v>
      </c>
      <c r="D177" s="17" t="str">
        <f t="shared" si="2"/>
        <v>/</v>
      </c>
      <c r="E177" s="13" t="s">
        <v>908</v>
      </c>
      <c r="F177" s="13" t="s">
        <v>37</v>
      </c>
      <c r="H177" s="18" t="s">
        <v>540</v>
      </c>
      <c r="L177" s="18" t="str">
        <f>VLOOKUP($C177,[2]Sheet1!$A$2:$L$208,12,0)</f>
        <v>Logic파트(2팀)</v>
      </c>
      <c r="M177" s="18" t="str">
        <f>VLOOKUP($C177,[2]Sheet1!$A$2:$L$208,2,0)</f>
        <v>김윤종</v>
      </c>
      <c r="N177" s="18" t="str">
        <f>VLOOKUP($C177,[2]Sheet1!$A$2:$L$208,11,0)</f>
        <v>기술사무</v>
      </c>
      <c r="P177" s="18" t="str">
        <f>VLOOKUP($C177,[3]Sheet1!$A$2:$L$209,12,0)</f>
        <v>Logic파트</v>
      </c>
      <c r="Q177" s="18" t="str">
        <f>VLOOKUP($C177,[3]Sheet1!$A$2:$L$209,2,0)</f>
        <v>김윤종</v>
      </c>
      <c r="R177" s="18" t="str">
        <f>VLOOKUP($C177,[3]Sheet1!$A$2:$L$209,11,0)</f>
        <v>기술사무</v>
      </c>
    </row>
    <row r="178" spans="1:18" x14ac:dyDescent="0.3">
      <c r="C178" s="5" t="s">
        <v>909</v>
      </c>
      <c r="D178" s="17" t="str">
        <f t="shared" si="2"/>
        <v>/</v>
      </c>
      <c r="E178" s="13" t="s">
        <v>910</v>
      </c>
      <c r="F178" s="13" t="s">
        <v>42</v>
      </c>
      <c r="H178" s="18" t="s">
        <v>540</v>
      </c>
      <c r="L178" s="18" t="str">
        <f>VLOOKUP($C178,[2]Sheet1!$A$2:$L$208,12,0)</f>
        <v>Analog파트(2팀)</v>
      </c>
      <c r="M178" s="18" t="str">
        <f>VLOOKUP($C178,[2]Sheet1!$A$2:$L$208,2,0)</f>
        <v>이종수</v>
      </c>
      <c r="N178" s="18" t="str">
        <f>VLOOKUP($C178,[2]Sheet1!$A$2:$L$208,11,0)</f>
        <v>기술사무</v>
      </c>
      <c r="P178" s="18" t="str">
        <f>VLOOKUP($C178,[3]Sheet1!$A$2:$L$209,12,0)</f>
        <v>Analog2파트</v>
      </c>
      <c r="Q178" s="18" t="str">
        <f>VLOOKUP($C178,[3]Sheet1!$A$2:$L$209,2,0)</f>
        <v>이종수</v>
      </c>
      <c r="R178" s="18" t="str">
        <f>VLOOKUP($C178,[3]Sheet1!$A$2:$L$209,11,0)</f>
        <v>기술사무</v>
      </c>
    </row>
    <row r="179" spans="1:18" x14ac:dyDescent="0.3">
      <c r="C179" s="5" t="s">
        <v>911</v>
      </c>
      <c r="D179" s="17" t="str">
        <f t="shared" si="2"/>
        <v>/</v>
      </c>
      <c r="E179" s="13" t="s">
        <v>912</v>
      </c>
      <c r="F179" s="13" t="s">
        <v>38</v>
      </c>
      <c r="H179" s="18" t="s">
        <v>540</v>
      </c>
      <c r="L179" s="18" t="str">
        <f>VLOOKUP($C179,[2]Sheet1!$A$2:$L$208,12,0)</f>
        <v>Digital IP파트(2팀)</v>
      </c>
      <c r="M179" s="18" t="str">
        <f>VLOOKUP($C179,[2]Sheet1!$A$2:$L$208,2,0)</f>
        <v>전영준</v>
      </c>
      <c r="N179" s="18" t="str">
        <f>VLOOKUP($C179,[2]Sheet1!$A$2:$L$208,11,0)</f>
        <v>기술사무</v>
      </c>
      <c r="P179" s="18" t="str">
        <f>VLOOKUP($C179,[3]Sheet1!$A$2:$L$209,12,0)</f>
        <v>Digital IP파트</v>
      </c>
      <c r="Q179" s="18" t="str">
        <f>VLOOKUP($C179,[3]Sheet1!$A$2:$L$209,2,0)</f>
        <v>전영준</v>
      </c>
      <c r="R179" s="18" t="str">
        <f>VLOOKUP($C179,[3]Sheet1!$A$2:$L$209,11,0)</f>
        <v>기술사무</v>
      </c>
    </row>
    <row r="180" spans="1:18" x14ac:dyDescent="0.3">
      <c r="C180" s="5" t="s">
        <v>913</v>
      </c>
      <c r="D180" s="17" t="str">
        <f t="shared" si="2"/>
        <v>/</v>
      </c>
      <c r="E180" s="13" t="s">
        <v>914</v>
      </c>
      <c r="F180" s="13" t="s">
        <v>34</v>
      </c>
      <c r="H180" s="18" t="s">
        <v>540</v>
      </c>
      <c r="L180" s="18" t="str">
        <f>VLOOKUP($C180,[2]Sheet1!$A$2:$L$208,12,0)</f>
        <v>Analog파트(2팀)</v>
      </c>
      <c r="M180" s="18" t="str">
        <f>VLOOKUP($C180,[2]Sheet1!$A$2:$L$208,2,0)</f>
        <v>이창배</v>
      </c>
      <c r="N180" s="18" t="str">
        <f>VLOOKUP($C180,[2]Sheet1!$A$2:$L$208,11,0)</f>
        <v>기술사무</v>
      </c>
      <c r="P180" s="18" t="str">
        <f>VLOOKUP($C180,[3]Sheet1!$A$2:$L$209,12,0)</f>
        <v>제품개발2파트</v>
      </c>
      <c r="Q180" s="18" t="str">
        <f>VLOOKUP($C180,[3]Sheet1!$A$2:$L$209,2,0)</f>
        <v>이창배</v>
      </c>
      <c r="R180" s="18" t="str">
        <f>VLOOKUP($C180,[3]Sheet1!$A$2:$L$209,11,0)</f>
        <v>기술사무</v>
      </c>
    </row>
    <row r="181" spans="1:18" x14ac:dyDescent="0.3">
      <c r="C181" s="5" t="s">
        <v>915</v>
      </c>
      <c r="D181" s="17" t="str">
        <f t="shared" si="2"/>
        <v>/</v>
      </c>
      <c r="E181" s="13" t="s">
        <v>916</v>
      </c>
      <c r="F181" s="13" t="s">
        <v>11</v>
      </c>
      <c r="H181" s="18" t="s">
        <v>11</v>
      </c>
      <c r="L181" s="18" t="str">
        <f>VLOOKUP($C181,[2]Sheet1!$A$2:$L$208,12,0)</f>
        <v>심천지사</v>
      </c>
      <c r="M181" s="18" t="str">
        <f>VLOOKUP($C181,[2]Sheet1!$A$2:$L$208,2,0)</f>
        <v>신순연</v>
      </c>
      <c r="N181" s="18" t="str">
        <f>VLOOKUP($C181,[2]Sheet1!$A$2:$L$208,11,0)</f>
        <v>기술사무</v>
      </c>
      <c r="P181" s="18" t="str">
        <f>VLOOKUP($C181,[3]Sheet1!$A$2:$L$209,12,0)</f>
        <v>심천지사</v>
      </c>
      <c r="Q181" s="18" t="str">
        <f>VLOOKUP($C181,[3]Sheet1!$A$2:$L$209,2,0)</f>
        <v>신순연</v>
      </c>
      <c r="R181" s="18" t="str">
        <f>VLOOKUP($C181,[3]Sheet1!$A$2:$L$209,11,0)</f>
        <v>기술사무</v>
      </c>
    </row>
    <row r="182" spans="1:18" x14ac:dyDescent="0.3">
      <c r="C182" s="5" t="s">
        <v>917</v>
      </c>
      <c r="D182" s="17" t="str">
        <f t="shared" si="2"/>
        <v>/</v>
      </c>
      <c r="E182" s="13" t="s">
        <v>918</v>
      </c>
      <c r="F182" s="13" t="s">
        <v>11</v>
      </c>
      <c r="H182" s="18" t="s">
        <v>11</v>
      </c>
      <c r="L182" s="18" t="str">
        <f>VLOOKUP($C182,[2]Sheet1!$A$2:$L$208,12,0)</f>
        <v>심천지사</v>
      </c>
      <c r="M182" s="18" t="str">
        <f>VLOOKUP($C182,[2]Sheet1!$A$2:$L$208,2,0)</f>
        <v>김명관</v>
      </c>
      <c r="N182" s="18" t="str">
        <f>VLOOKUP($C182,[2]Sheet1!$A$2:$L$208,11,0)</f>
        <v>기술사무</v>
      </c>
      <c r="P182" s="18" t="str">
        <f>VLOOKUP($C182,[3]Sheet1!$A$2:$L$209,12,0)</f>
        <v>심천지사</v>
      </c>
      <c r="Q182" s="18" t="str">
        <f>VLOOKUP($C182,[3]Sheet1!$A$2:$L$209,2,0)</f>
        <v>김명관</v>
      </c>
      <c r="R182" s="18" t="str">
        <f>VLOOKUP($C182,[3]Sheet1!$A$2:$L$209,11,0)</f>
        <v>기술사무</v>
      </c>
    </row>
    <row r="183" spans="1:18" x14ac:dyDescent="0.3">
      <c r="C183" s="5" t="s">
        <v>919</v>
      </c>
      <c r="D183" s="17" t="str">
        <f t="shared" si="2"/>
        <v>/</v>
      </c>
      <c r="E183" s="13" t="s">
        <v>920</v>
      </c>
      <c r="F183" s="13" t="s">
        <v>11</v>
      </c>
      <c r="H183" s="18" t="s">
        <v>11</v>
      </c>
      <c r="L183" s="18" t="str">
        <f>VLOOKUP($C183,[2]Sheet1!$A$2:$L$208,12,0)</f>
        <v>심천지사</v>
      </c>
      <c r="M183" s="18" t="str">
        <f>VLOOKUP($C183,[2]Sheet1!$A$2:$L$208,2,0)</f>
        <v>ZhangLiang</v>
      </c>
      <c r="N183" s="18" t="str">
        <f>VLOOKUP($C183,[2]Sheet1!$A$2:$L$208,11,0)</f>
        <v>기술사무</v>
      </c>
      <c r="P183" s="18" t="str">
        <f>VLOOKUP($C183,[3]Sheet1!$A$2:$L$209,12,0)</f>
        <v>심천지사</v>
      </c>
      <c r="Q183" s="18" t="str">
        <f>VLOOKUP($C183,[3]Sheet1!$A$2:$L$209,2,0)</f>
        <v>ZhangLiang</v>
      </c>
      <c r="R183" s="18" t="str">
        <f>VLOOKUP($C183,[3]Sheet1!$A$2:$L$209,11,0)</f>
        <v>기술사무</v>
      </c>
    </row>
    <row r="184" spans="1:18" x14ac:dyDescent="0.3">
      <c r="C184" s="5" t="s">
        <v>921</v>
      </c>
      <c r="D184" s="17" t="str">
        <f t="shared" si="2"/>
        <v>/</v>
      </c>
      <c r="E184" s="13" t="s">
        <v>922</v>
      </c>
      <c r="F184" s="13" t="s">
        <v>11</v>
      </c>
      <c r="H184" s="18" t="s">
        <v>11</v>
      </c>
      <c r="L184" s="18" t="str">
        <f>VLOOKUP($C184,[2]Sheet1!$A$2:$L$208,12,0)</f>
        <v>심천지사</v>
      </c>
      <c r="M184" s="18" t="str">
        <f>VLOOKUP($C184,[2]Sheet1!$A$2:$L$208,2,0)</f>
        <v>LinJessie</v>
      </c>
      <c r="N184" s="18" t="str">
        <f>VLOOKUP($C184,[2]Sheet1!$A$2:$L$208,11,0)</f>
        <v>기술사무</v>
      </c>
      <c r="P184" s="18" t="str">
        <f>VLOOKUP($C184,[3]Sheet1!$A$2:$L$209,12,0)</f>
        <v>심천지사</v>
      </c>
      <c r="Q184" s="18" t="str">
        <f>VLOOKUP($C184,[3]Sheet1!$A$2:$L$209,2,0)</f>
        <v>LinJessie</v>
      </c>
      <c r="R184" s="18" t="str">
        <f>VLOOKUP($C184,[3]Sheet1!$A$2:$L$209,11,0)</f>
        <v>기술사무</v>
      </c>
    </row>
    <row r="185" spans="1:18" x14ac:dyDescent="0.3">
      <c r="C185" s="5" t="s">
        <v>923</v>
      </c>
      <c r="D185" s="17" t="str">
        <f t="shared" si="2"/>
        <v>/</v>
      </c>
      <c r="E185" s="13" t="s">
        <v>924</v>
      </c>
      <c r="F185" s="13" t="s">
        <v>11</v>
      </c>
      <c r="H185" s="18" t="s">
        <v>11</v>
      </c>
      <c r="L185" s="18" t="str">
        <f>VLOOKUP($C185,[2]Sheet1!$A$2:$L$208,12,0)</f>
        <v>심천지사</v>
      </c>
      <c r="M185" s="18" t="str">
        <f>VLOOKUP($C185,[2]Sheet1!$A$2:$L$208,2,0)</f>
        <v>PiaoMeiLing</v>
      </c>
      <c r="N185" s="18" t="str">
        <f>VLOOKUP($C185,[2]Sheet1!$A$2:$L$208,11,0)</f>
        <v>기술사무</v>
      </c>
      <c r="P185" s="18" t="str">
        <f>VLOOKUP($C185,[3]Sheet1!$A$2:$L$209,12,0)</f>
        <v>심천지사</v>
      </c>
      <c r="Q185" s="18" t="str">
        <f>VLOOKUP($C185,[3]Sheet1!$A$2:$L$209,2,0)</f>
        <v>PiaoMeiLing</v>
      </c>
      <c r="R185" s="18" t="str">
        <f>VLOOKUP($C185,[3]Sheet1!$A$2:$L$209,11,0)</f>
        <v>기술사무</v>
      </c>
    </row>
    <row r="186" spans="1:18" x14ac:dyDescent="0.3">
      <c r="C186" s="5" t="s">
        <v>925</v>
      </c>
      <c r="D186" s="17" t="str">
        <f t="shared" si="2"/>
        <v>/</v>
      </c>
      <c r="E186" s="13" t="s">
        <v>926</v>
      </c>
      <c r="F186" s="13" t="s">
        <v>552</v>
      </c>
      <c r="H186" s="18" t="s">
        <v>552</v>
      </c>
      <c r="L186" s="18" t="str">
        <f>VLOOKUP($C186,[2]Sheet1!$A$2:$L$208,12,0)</f>
        <v>재무관리팀</v>
      </c>
      <c r="M186" s="18" t="str">
        <f>VLOOKUP($C186,[2]Sheet1!$A$2:$L$208,2,0)</f>
        <v>손지윤</v>
      </c>
      <c r="N186" s="18" t="str">
        <f>VLOOKUP($C186,[2]Sheet1!$A$2:$L$208,11,0)</f>
        <v>기술사무</v>
      </c>
      <c r="P186" s="18" t="str">
        <f>VLOOKUP($C186,[3]Sheet1!$A$2:$L$209,12,0)</f>
        <v>재무관리팀</v>
      </c>
      <c r="Q186" s="18" t="str">
        <f>VLOOKUP($C186,[3]Sheet1!$A$2:$L$209,2,0)</f>
        <v>손지윤</v>
      </c>
      <c r="R186" s="18" t="str">
        <f>VLOOKUP($C186,[3]Sheet1!$A$2:$L$209,11,0)</f>
        <v>기술사무</v>
      </c>
    </row>
    <row r="187" spans="1:18" x14ac:dyDescent="0.3">
      <c r="C187" s="5" t="s">
        <v>927</v>
      </c>
      <c r="D187" s="17" t="str">
        <f t="shared" si="2"/>
        <v>/</v>
      </c>
      <c r="E187" s="13" t="s">
        <v>928</v>
      </c>
      <c r="F187" s="13" t="s">
        <v>37</v>
      </c>
      <c r="H187" s="18" t="s">
        <v>540</v>
      </c>
      <c r="L187" s="18" t="str">
        <f>VLOOKUP($C187,[2]Sheet1!$A$2:$L$208,12,0)</f>
        <v>Logic파트(2팀)</v>
      </c>
      <c r="M187" s="18" t="str">
        <f>VLOOKUP($C187,[2]Sheet1!$A$2:$L$208,2,0)</f>
        <v>김창호</v>
      </c>
      <c r="N187" s="18" t="str">
        <f>VLOOKUP($C187,[2]Sheet1!$A$2:$L$208,11,0)</f>
        <v>기술사무</v>
      </c>
      <c r="P187" s="18" t="str">
        <f>VLOOKUP($C187,[3]Sheet1!$A$2:$L$209,12,0)</f>
        <v>Logic파트</v>
      </c>
      <c r="Q187" s="18" t="str">
        <f>VLOOKUP($C187,[3]Sheet1!$A$2:$L$209,2,0)</f>
        <v>김창호</v>
      </c>
      <c r="R187" s="18" t="str">
        <f>VLOOKUP($C187,[3]Sheet1!$A$2:$L$209,11,0)</f>
        <v>기술사무</v>
      </c>
    </row>
    <row r="188" spans="1:18" x14ac:dyDescent="0.3">
      <c r="A188" s="18" t="s">
        <v>724</v>
      </c>
      <c r="B188" s="18" t="s">
        <v>929</v>
      </c>
      <c r="C188" s="5" t="s">
        <v>930</v>
      </c>
      <c r="D188" s="17" t="str">
        <f t="shared" si="2"/>
        <v>MIN/KYUNGWON</v>
      </c>
      <c r="E188" s="13" t="s">
        <v>931</v>
      </c>
      <c r="F188" s="13" t="s">
        <v>34</v>
      </c>
      <c r="H188" s="18" t="s">
        <v>540</v>
      </c>
      <c r="L188" s="18" t="str">
        <f>VLOOKUP($C188,[2]Sheet1!$A$2:$L$208,12,0)</f>
        <v>Analog파트(2팀)</v>
      </c>
      <c r="M188" s="18" t="str">
        <f>VLOOKUP($C188,[2]Sheet1!$A$2:$L$208,2,0)</f>
        <v>민경원</v>
      </c>
      <c r="N188" s="18" t="str">
        <f>VLOOKUP($C188,[2]Sheet1!$A$2:$L$208,11,0)</f>
        <v>기술사무</v>
      </c>
      <c r="P188" s="18" t="str">
        <f>VLOOKUP($C188,[3]Sheet1!$A$2:$L$209,12,0)</f>
        <v>제품개발2파트</v>
      </c>
      <c r="Q188" s="18" t="str">
        <f>VLOOKUP($C188,[3]Sheet1!$A$2:$L$209,2,0)</f>
        <v>민경원</v>
      </c>
      <c r="R188" s="18" t="str">
        <f>VLOOKUP($C188,[3]Sheet1!$A$2:$L$209,11,0)</f>
        <v>기술사무</v>
      </c>
    </row>
    <row r="189" spans="1:18" x14ac:dyDescent="0.3">
      <c r="C189" s="5" t="s">
        <v>932</v>
      </c>
      <c r="D189" s="17" t="str">
        <f t="shared" si="2"/>
        <v>/</v>
      </c>
      <c r="E189" s="13" t="s">
        <v>933</v>
      </c>
      <c r="F189" s="13" t="s">
        <v>50</v>
      </c>
      <c r="H189" s="18" t="s">
        <v>50</v>
      </c>
      <c r="L189" s="18" t="str">
        <f>VLOOKUP($C189,[2]Sheet1!$A$2:$L$208,12,0)</f>
        <v>PMIC개발팀</v>
      </c>
      <c r="M189" s="18" t="str">
        <f>VLOOKUP($C189,[2]Sheet1!$A$2:$L$208,2,0)</f>
        <v>김창민</v>
      </c>
      <c r="N189" s="18" t="str">
        <f>VLOOKUP($C189,[2]Sheet1!$A$2:$L$208,11,0)</f>
        <v>기술사무</v>
      </c>
      <c r="P189" s="18" t="str">
        <f>VLOOKUP($C189,[3]Sheet1!$A$2:$L$209,12,0)</f>
        <v>PMIC개발팀</v>
      </c>
      <c r="Q189" s="18" t="str">
        <f>VLOOKUP($C189,[3]Sheet1!$A$2:$L$209,2,0)</f>
        <v>김창민</v>
      </c>
      <c r="R189" s="18" t="str">
        <f>VLOOKUP($C189,[3]Sheet1!$A$2:$L$209,11,0)</f>
        <v>기술사무</v>
      </c>
    </row>
    <row r="190" spans="1:18" x14ac:dyDescent="0.3">
      <c r="C190" s="5" t="s">
        <v>934</v>
      </c>
      <c r="D190" s="17" t="str">
        <f t="shared" si="2"/>
        <v>/</v>
      </c>
      <c r="E190" s="13" t="s">
        <v>935</v>
      </c>
      <c r="F190" s="13" t="s">
        <v>44</v>
      </c>
      <c r="H190" s="18" t="s">
        <v>44</v>
      </c>
      <c r="L190" s="18" t="str">
        <f>VLOOKUP($C190,[2]Sheet1!$A$2:$L$208,12,0)</f>
        <v>ESD팀</v>
      </c>
      <c r="M190" s="18" t="str">
        <f>VLOOKUP($C190,[2]Sheet1!$A$2:$L$208,2,0)</f>
        <v>윤상준</v>
      </c>
      <c r="N190" s="18" t="str">
        <f>VLOOKUP($C190,[2]Sheet1!$A$2:$L$208,11,0)</f>
        <v>기술사무</v>
      </c>
      <c r="P190" s="18" t="str">
        <f>VLOOKUP($C190,[3]Sheet1!$A$2:$L$209,12,0)</f>
        <v>ESD팀</v>
      </c>
      <c r="Q190" s="18" t="str">
        <f>VLOOKUP($C190,[3]Sheet1!$A$2:$L$209,2,0)</f>
        <v>윤상준</v>
      </c>
      <c r="R190" s="18" t="str">
        <f>VLOOKUP($C190,[3]Sheet1!$A$2:$L$209,11,0)</f>
        <v>기술사무</v>
      </c>
    </row>
    <row r="191" spans="1:18" x14ac:dyDescent="0.3">
      <c r="C191" s="5" t="s">
        <v>936</v>
      </c>
      <c r="D191" s="17" t="str">
        <f t="shared" si="2"/>
        <v>/</v>
      </c>
      <c r="E191" s="13" t="s">
        <v>937</v>
      </c>
      <c r="F191" s="13" t="s">
        <v>34</v>
      </c>
      <c r="H191" s="18" t="s">
        <v>540</v>
      </c>
      <c r="L191" s="18" t="str">
        <f>VLOOKUP($C191,[2]Sheet1!$A$2:$L$208,12,0)</f>
        <v>Analog파트(2팀)</v>
      </c>
      <c r="M191" s="18" t="str">
        <f>VLOOKUP($C191,[2]Sheet1!$A$2:$L$208,2,0)</f>
        <v>김관우</v>
      </c>
      <c r="N191" s="18" t="str">
        <f>VLOOKUP($C191,[2]Sheet1!$A$2:$L$208,11,0)</f>
        <v>기술사무</v>
      </c>
      <c r="P191" s="18" t="str">
        <f>VLOOKUP($C191,[3]Sheet1!$A$2:$L$209,12,0)</f>
        <v>제품개발2파트</v>
      </c>
      <c r="Q191" s="18" t="str">
        <f>VLOOKUP($C191,[3]Sheet1!$A$2:$L$209,2,0)</f>
        <v>김관우</v>
      </c>
      <c r="R191" s="18" t="str">
        <f>VLOOKUP($C191,[3]Sheet1!$A$2:$L$209,11,0)</f>
        <v>기술사무</v>
      </c>
    </row>
    <row r="192" spans="1:18" x14ac:dyDescent="0.3">
      <c r="C192" s="5" t="s">
        <v>938</v>
      </c>
      <c r="D192" s="17" t="str">
        <f t="shared" si="2"/>
        <v>/</v>
      </c>
      <c r="E192" s="13" t="s">
        <v>939</v>
      </c>
      <c r="F192" s="13" t="s">
        <v>42</v>
      </c>
      <c r="H192" s="18" t="s">
        <v>540</v>
      </c>
      <c r="L192" s="18" t="str">
        <f>VLOOKUP($C192,[2]Sheet1!$A$2:$L$208,12,0)</f>
        <v>Analog파트(2팀)</v>
      </c>
      <c r="M192" s="18" t="str">
        <f>VLOOKUP($C192,[2]Sheet1!$A$2:$L$208,2,0)</f>
        <v>이원조</v>
      </c>
      <c r="N192" s="18" t="str">
        <f>VLOOKUP($C192,[2]Sheet1!$A$2:$L$208,11,0)</f>
        <v>기술사무</v>
      </c>
      <c r="P192" s="18" t="str">
        <f>VLOOKUP($C192,[3]Sheet1!$A$2:$L$209,12,0)</f>
        <v>Analog2파트</v>
      </c>
      <c r="Q192" s="18" t="str">
        <f>VLOOKUP($C192,[3]Sheet1!$A$2:$L$209,2,0)</f>
        <v>이원조</v>
      </c>
      <c r="R192" s="18" t="str">
        <f>VLOOKUP($C192,[3]Sheet1!$A$2:$L$209,11,0)</f>
        <v>기술사무</v>
      </c>
    </row>
    <row r="193" spans="1:18" x14ac:dyDescent="0.3">
      <c r="C193" s="5" t="s">
        <v>940</v>
      </c>
      <c r="D193" s="17" t="str">
        <f t="shared" si="2"/>
        <v>/</v>
      </c>
      <c r="E193" s="13" t="s">
        <v>941</v>
      </c>
      <c r="F193" s="13" t="s">
        <v>11</v>
      </c>
      <c r="H193" s="18" t="s">
        <v>11</v>
      </c>
      <c r="L193" s="18" t="str">
        <f>VLOOKUP($C193,[2]Sheet1!$A$2:$L$208,12,0)</f>
        <v>심천지사</v>
      </c>
      <c r="M193" s="18" t="str">
        <f>VLOOKUP($C193,[2]Sheet1!$A$2:$L$208,2,0)</f>
        <v>LinWeiJian</v>
      </c>
      <c r="N193" s="18" t="str">
        <f>VLOOKUP($C193,[2]Sheet1!$A$2:$L$208,11,0)</f>
        <v>기술사무</v>
      </c>
      <c r="P193" s="18" t="str">
        <f>VLOOKUP($C193,[3]Sheet1!$A$2:$L$209,12,0)</f>
        <v>심천지사</v>
      </c>
      <c r="Q193" s="18" t="str">
        <f>VLOOKUP($C193,[3]Sheet1!$A$2:$L$209,2,0)</f>
        <v>LinWeiJian</v>
      </c>
      <c r="R193" s="18" t="str">
        <f>VLOOKUP($C193,[3]Sheet1!$A$2:$L$209,11,0)</f>
        <v>기술사무</v>
      </c>
    </row>
    <row r="194" spans="1:18" x14ac:dyDescent="0.3">
      <c r="C194" s="5" t="s">
        <v>942</v>
      </c>
      <c r="D194" s="17" t="str">
        <f t="shared" ref="D194:D257" si="3">A194&amp;"/"&amp;B194</f>
        <v>/</v>
      </c>
      <c r="E194" s="13" t="s">
        <v>943</v>
      </c>
      <c r="F194" s="13" t="s">
        <v>774</v>
      </c>
      <c r="H194" s="18" t="s">
        <v>50</v>
      </c>
      <c r="L194" s="18" t="str">
        <f>VLOOKUP($C194,[2]Sheet1!$A$2:$L$208,12,0)</f>
        <v>2파트</v>
      </c>
      <c r="M194" s="18" t="str">
        <f>VLOOKUP($C194,[2]Sheet1!$A$2:$L$208,2,0)</f>
        <v>신정우</v>
      </c>
      <c r="N194" s="18" t="str">
        <f>VLOOKUP($C194,[2]Sheet1!$A$2:$L$208,11,0)</f>
        <v>기술사무</v>
      </c>
      <c r="P194" s="18" t="str">
        <f>VLOOKUP($C194,[3]Sheet1!$A$2:$L$209,12,0)</f>
        <v>2파트</v>
      </c>
      <c r="Q194" s="18" t="str">
        <f>VLOOKUP($C194,[3]Sheet1!$A$2:$L$209,2,0)</f>
        <v>신정우</v>
      </c>
      <c r="R194" s="18" t="str">
        <f>VLOOKUP($C194,[3]Sheet1!$A$2:$L$209,11,0)</f>
        <v>기술사무</v>
      </c>
    </row>
    <row r="195" spans="1:18" x14ac:dyDescent="0.3">
      <c r="C195" s="5" t="s">
        <v>944</v>
      </c>
      <c r="D195" s="17" t="str">
        <f t="shared" si="3"/>
        <v>/</v>
      </c>
      <c r="E195" s="13" t="s">
        <v>945</v>
      </c>
      <c r="F195" s="13" t="s">
        <v>774</v>
      </c>
      <c r="H195" s="18" t="s">
        <v>50</v>
      </c>
      <c r="L195" s="18" t="str">
        <f>VLOOKUP($C195,[2]Sheet1!$A$2:$L$208,12,0)</f>
        <v>2파트</v>
      </c>
      <c r="M195" s="18" t="str">
        <f>VLOOKUP($C195,[2]Sheet1!$A$2:$L$208,2,0)</f>
        <v>현필수</v>
      </c>
      <c r="N195" s="18" t="str">
        <f>VLOOKUP($C195,[2]Sheet1!$A$2:$L$208,11,0)</f>
        <v>기술사무</v>
      </c>
      <c r="P195" s="18" t="str">
        <f>VLOOKUP($C195,[3]Sheet1!$A$2:$L$209,12,0)</f>
        <v>2파트</v>
      </c>
      <c r="Q195" s="18" t="str">
        <f>VLOOKUP($C195,[3]Sheet1!$A$2:$L$209,2,0)</f>
        <v>현필수</v>
      </c>
      <c r="R195" s="18" t="str">
        <f>VLOOKUP($C195,[3]Sheet1!$A$2:$L$209,11,0)</f>
        <v>기술사무</v>
      </c>
    </row>
    <row r="196" spans="1:18" x14ac:dyDescent="0.3">
      <c r="C196" s="5" t="s">
        <v>946</v>
      </c>
      <c r="D196" s="17" t="str">
        <f t="shared" si="3"/>
        <v>/</v>
      </c>
      <c r="E196" s="13" t="s">
        <v>947</v>
      </c>
      <c r="F196" s="13" t="s">
        <v>774</v>
      </c>
      <c r="H196" s="18" t="s">
        <v>50</v>
      </c>
      <c r="L196" s="18" t="str">
        <f>VLOOKUP($C196,[2]Sheet1!$A$2:$L$208,12,0)</f>
        <v>2파트</v>
      </c>
      <c r="M196" s="18" t="str">
        <f>VLOOKUP($C196,[2]Sheet1!$A$2:$L$208,2,0)</f>
        <v>안민영</v>
      </c>
      <c r="N196" s="18" t="str">
        <f>VLOOKUP($C196,[2]Sheet1!$A$2:$L$208,11,0)</f>
        <v>기술사무</v>
      </c>
      <c r="P196" s="18" t="str">
        <f>VLOOKUP($C196,[3]Sheet1!$A$2:$L$209,12,0)</f>
        <v>2파트</v>
      </c>
      <c r="Q196" s="18" t="str">
        <f>VLOOKUP($C196,[3]Sheet1!$A$2:$L$209,2,0)</f>
        <v>안민영</v>
      </c>
      <c r="R196" s="18" t="str">
        <f>VLOOKUP($C196,[3]Sheet1!$A$2:$L$209,11,0)</f>
        <v>기술사무</v>
      </c>
    </row>
    <row r="197" spans="1:18" x14ac:dyDescent="0.3">
      <c r="C197" s="5" t="s">
        <v>948</v>
      </c>
      <c r="D197" s="17" t="str">
        <f t="shared" si="3"/>
        <v>/</v>
      </c>
      <c r="E197" s="13" t="s">
        <v>949</v>
      </c>
      <c r="F197" s="13" t="s">
        <v>774</v>
      </c>
      <c r="H197" s="18" t="s">
        <v>50</v>
      </c>
      <c r="L197" s="18" t="str">
        <f>VLOOKUP($C197,[2]Sheet1!$A$2:$L$208,12,0)</f>
        <v>2파트</v>
      </c>
      <c r="M197" s="18" t="str">
        <f>VLOOKUP($C197,[2]Sheet1!$A$2:$L$208,2,0)</f>
        <v>허영건</v>
      </c>
      <c r="N197" s="18" t="str">
        <f>VLOOKUP($C197,[2]Sheet1!$A$2:$L$208,11,0)</f>
        <v>기술사무</v>
      </c>
      <c r="P197" s="18" t="str">
        <f>VLOOKUP($C197,[3]Sheet1!$A$2:$L$209,12,0)</f>
        <v>2파트</v>
      </c>
      <c r="Q197" s="18" t="str">
        <f>VLOOKUP($C197,[3]Sheet1!$A$2:$L$209,2,0)</f>
        <v>허영건</v>
      </c>
      <c r="R197" s="18" t="str">
        <f>VLOOKUP($C197,[3]Sheet1!$A$2:$L$209,11,0)</f>
        <v>기술사무</v>
      </c>
    </row>
    <row r="198" spans="1:18" x14ac:dyDescent="0.3">
      <c r="C198" s="5" t="s">
        <v>950</v>
      </c>
      <c r="D198" s="17" t="str">
        <f t="shared" si="3"/>
        <v>/</v>
      </c>
      <c r="E198" s="13" t="s">
        <v>951</v>
      </c>
      <c r="F198" s="13" t="s">
        <v>774</v>
      </c>
      <c r="H198" s="18" t="s">
        <v>50</v>
      </c>
      <c r="L198" s="18" t="str">
        <f>VLOOKUP($C198,[2]Sheet1!$A$2:$L$208,12,0)</f>
        <v>2파트</v>
      </c>
      <c r="M198" s="18" t="str">
        <f>VLOOKUP($C198,[2]Sheet1!$A$2:$L$208,2,0)</f>
        <v>황영승</v>
      </c>
      <c r="N198" s="18" t="str">
        <f>VLOOKUP($C198,[2]Sheet1!$A$2:$L$208,11,0)</f>
        <v>기술사무</v>
      </c>
      <c r="P198" s="18" t="str">
        <f>VLOOKUP($C198,[3]Sheet1!$A$2:$L$209,12,0)</f>
        <v>2파트</v>
      </c>
      <c r="Q198" s="18" t="str">
        <f>VLOOKUP($C198,[3]Sheet1!$A$2:$L$209,2,0)</f>
        <v>황영승</v>
      </c>
      <c r="R198" s="18" t="str">
        <f>VLOOKUP($C198,[3]Sheet1!$A$2:$L$209,11,0)</f>
        <v>기술사무</v>
      </c>
    </row>
    <row r="199" spans="1:18" x14ac:dyDescent="0.3">
      <c r="C199" s="5" t="s">
        <v>952</v>
      </c>
      <c r="D199" s="17" t="str">
        <f t="shared" si="3"/>
        <v>/</v>
      </c>
      <c r="E199" s="13" t="s">
        <v>953</v>
      </c>
      <c r="F199" s="13" t="s">
        <v>37</v>
      </c>
      <c r="H199" s="18" t="s">
        <v>540</v>
      </c>
      <c r="L199" s="18" t="str">
        <f>VLOOKUP($C199,[2]Sheet1!$A$2:$L$208,12,0)</f>
        <v>Logic파트(2팀)</v>
      </c>
      <c r="M199" s="18" t="str">
        <f>VLOOKUP($C199,[2]Sheet1!$A$2:$L$208,2,0)</f>
        <v>이지용</v>
      </c>
      <c r="N199" s="18" t="str">
        <f>VLOOKUP($C199,[2]Sheet1!$A$2:$L$208,11,0)</f>
        <v>기술사무</v>
      </c>
      <c r="P199" s="18" t="str">
        <f>VLOOKUP($C199,[3]Sheet1!$A$2:$L$209,12,0)</f>
        <v>Logic파트</v>
      </c>
      <c r="Q199" s="18" t="str">
        <f>VLOOKUP($C199,[3]Sheet1!$A$2:$L$209,2,0)</f>
        <v>이지용</v>
      </c>
      <c r="R199" s="18" t="str">
        <f>VLOOKUP($C199,[3]Sheet1!$A$2:$L$209,11,0)</f>
        <v>기술사무</v>
      </c>
    </row>
    <row r="200" spans="1:18" x14ac:dyDescent="0.3">
      <c r="C200" s="5" t="s">
        <v>954</v>
      </c>
      <c r="D200" s="17" t="str">
        <f t="shared" si="3"/>
        <v>/</v>
      </c>
      <c r="E200" s="13" t="s">
        <v>955</v>
      </c>
      <c r="F200" s="13" t="s">
        <v>41</v>
      </c>
      <c r="H200" s="18" t="s">
        <v>535</v>
      </c>
      <c r="L200" s="18" t="str">
        <f>VLOOKUP($C200,[2]Sheet1!$A$2:$L$208,12,0)</f>
        <v>Analog파트(1팀)</v>
      </c>
      <c r="M200" s="18" t="str">
        <f>VLOOKUP($C200,[2]Sheet1!$A$2:$L$208,2,0)</f>
        <v>조성훈</v>
      </c>
      <c r="N200" s="18" t="str">
        <f>VLOOKUP($C200,[2]Sheet1!$A$2:$L$208,11,0)</f>
        <v>기술사무</v>
      </c>
      <c r="P200" s="18" t="str">
        <f>VLOOKUP($C200,[3]Sheet1!$A$2:$L$209,12,0)</f>
        <v>Analog1파트</v>
      </c>
      <c r="Q200" s="18" t="str">
        <f>VLOOKUP($C200,[3]Sheet1!$A$2:$L$209,2,0)</f>
        <v>조성훈</v>
      </c>
      <c r="R200" s="18" t="str">
        <f>VLOOKUP($C200,[3]Sheet1!$A$2:$L$209,11,0)</f>
        <v>기술사무</v>
      </c>
    </row>
    <row r="201" spans="1:18" x14ac:dyDescent="0.3">
      <c r="C201" s="5" t="s">
        <v>956</v>
      </c>
      <c r="D201" s="17" t="str">
        <f t="shared" si="3"/>
        <v>/</v>
      </c>
      <c r="E201" s="13" t="s">
        <v>957</v>
      </c>
      <c r="F201" s="13" t="s">
        <v>774</v>
      </c>
      <c r="H201" s="18" t="s">
        <v>50</v>
      </c>
      <c r="L201" s="18" t="str">
        <f>VLOOKUP($C201,[2]Sheet1!$A$2:$L$208,12,0)</f>
        <v>2파트</v>
      </c>
      <c r="M201" s="18" t="str">
        <f>VLOOKUP($C201,[2]Sheet1!$A$2:$L$208,2,0)</f>
        <v>이영진</v>
      </c>
      <c r="N201" s="18" t="str">
        <f>VLOOKUP($C201,[2]Sheet1!$A$2:$L$208,11,0)</f>
        <v>기술사무</v>
      </c>
      <c r="P201" s="18" t="str">
        <f>VLOOKUP($C201,[3]Sheet1!$A$2:$L$209,12,0)</f>
        <v>2파트</v>
      </c>
      <c r="Q201" s="18" t="str">
        <f>VLOOKUP($C201,[3]Sheet1!$A$2:$L$209,2,0)</f>
        <v>이영진</v>
      </c>
      <c r="R201" s="18" t="str">
        <f>VLOOKUP($C201,[3]Sheet1!$A$2:$L$209,11,0)</f>
        <v>기술사무</v>
      </c>
    </row>
    <row r="202" spans="1:18" x14ac:dyDescent="0.3">
      <c r="C202" s="5" t="s">
        <v>958</v>
      </c>
      <c r="D202" s="17" t="str">
        <f t="shared" si="3"/>
        <v>/</v>
      </c>
      <c r="E202" s="13" t="s">
        <v>959</v>
      </c>
      <c r="F202" s="13" t="s">
        <v>41</v>
      </c>
      <c r="H202" s="18" t="s">
        <v>535</v>
      </c>
      <c r="L202" s="18" t="str">
        <f>VLOOKUP($C202,[2]Sheet1!$A$2:$L$208,12,0)</f>
        <v>Analog파트(1팀)</v>
      </c>
      <c r="M202" s="18" t="str">
        <f>VLOOKUP($C202,[2]Sheet1!$A$2:$L$208,2,0)</f>
        <v>김도원</v>
      </c>
      <c r="N202" s="18" t="str">
        <f>VLOOKUP($C202,[2]Sheet1!$A$2:$L$208,11,0)</f>
        <v>기술사무</v>
      </c>
      <c r="P202" s="18" t="str">
        <f>VLOOKUP($C202,[3]Sheet1!$A$2:$L$209,12,0)</f>
        <v>Analog1파트</v>
      </c>
      <c r="Q202" s="18" t="str">
        <f>VLOOKUP($C202,[3]Sheet1!$A$2:$L$209,2,0)</f>
        <v>김도원</v>
      </c>
      <c r="R202" s="18" t="str">
        <f>VLOOKUP($C202,[3]Sheet1!$A$2:$L$209,11,0)</f>
        <v>기술사무</v>
      </c>
    </row>
    <row r="203" spans="1:18" x14ac:dyDescent="0.3">
      <c r="A203" s="18" t="s">
        <v>617</v>
      </c>
      <c r="B203" s="18" t="s">
        <v>960</v>
      </c>
      <c r="C203" s="5" t="s">
        <v>961</v>
      </c>
      <c r="D203" s="17" t="str">
        <f t="shared" si="3"/>
        <v>HWANG/DAEWOOK</v>
      </c>
      <c r="E203" s="13" t="s">
        <v>962</v>
      </c>
      <c r="F203" s="13" t="s">
        <v>7</v>
      </c>
      <c r="H203" s="18" t="s">
        <v>7</v>
      </c>
      <c r="L203" s="18" t="str">
        <f>VLOOKUP($C203,[2]Sheet1!$A$2:$L$208,12,0)</f>
        <v>DDI마케팅파트</v>
      </c>
      <c r="M203" s="18" t="str">
        <f>VLOOKUP($C203,[2]Sheet1!$A$2:$L$208,2,0)</f>
        <v>황대욱</v>
      </c>
      <c r="N203" s="18" t="str">
        <f>VLOOKUP($C203,[2]Sheet1!$A$2:$L$208,11,0)</f>
        <v>기술사무</v>
      </c>
      <c r="P203" s="18" t="str">
        <f>VLOOKUP($C203,[3]Sheet1!$A$2:$L$209,12,0)</f>
        <v>DDI마케팅파트</v>
      </c>
      <c r="Q203" s="18" t="str">
        <f>VLOOKUP($C203,[3]Sheet1!$A$2:$L$209,2,0)</f>
        <v>황대욱</v>
      </c>
      <c r="R203" s="18" t="str">
        <f>VLOOKUP($C203,[3]Sheet1!$A$2:$L$209,11,0)</f>
        <v>기술사무</v>
      </c>
    </row>
    <row r="204" spans="1:18" x14ac:dyDescent="0.3">
      <c r="C204" s="5" t="s">
        <v>963</v>
      </c>
      <c r="D204" s="17" t="str">
        <f t="shared" si="3"/>
        <v>/</v>
      </c>
      <c r="E204" s="18" t="s">
        <v>964</v>
      </c>
      <c r="F204" s="18" t="s">
        <v>37</v>
      </c>
      <c r="H204" s="18" t="s">
        <v>540</v>
      </c>
      <c r="L204" s="18" t="str">
        <f>VLOOKUP($C204,[2]Sheet1!$A$2:$L$208,12,0)</f>
        <v>Logic파트(2팀)</v>
      </c>
      <c r="M204" s="18" t="str">
        <f>VLOOKUP($C204,[2]Sheet1!$A$2:$L$208,2,0)</f>
        <v>정문규</v>
      </c>
      <c r="N204" s="18" t="str">
        <f>VLOOKUP($C204,[2]Sheet1!$A$2:$L$208,11,0)</f>
        <v>기술사무</v>
      </c>
      <c r="P204" s="18" t="str">
        <f>VLOOKUP($C204,[3]Sheet1!$A$2:$L$209,12,0)</f>
        <v>Logic파트</v>
      </c>
      <c r="Q204" s="18" t="str">
        <f>VLOOKUP($C204,[3]Sheet1!$A$2:$L$209,2,0)</f>
        <v>정문규</v>
      </c>
      <c r="R204" s="18" t="str">
        <f>VLOOKUP($C204,[3]Sheet1!$A$2:$L$209,11,0)</f>
        <v>기술사무</v>
      </c>
    </row>
    <row r="205" spans="1:18" x14ac:dyDescent="0.3">
      <c r="C205" s="5" t="s">
        <v>965</v>
      </c>
      <c r="D205" s="17" t="str">
        <f t="shared" si="3"/>
        <v>/</v>
      </c>
      <c r="E205" s="18" t="s">
        <v>966</v>
      </c>
      <c r="F205" s="18" t="s">
        <v>774</v>
      </c>
      <c r="H205" s="18" t="s">
        <v>50</v>
      </c>
      <c r="L205" s="18" t="str">
        <f>VLOOKUP($C205,[2]Sheet1!$A$2:$L$208,12,0)</f>
        <v>2파트</v>
      </c>
      <c r="M205" s="18" t="str">
        <f>VLOOKUP($C205,[2]Sheet1!$A$2:$L$208,2,0)</f>
        <v>배명성</v>
      </c>
      <c r="N205" s="18" t="str">
        <f>VLOOKUP($C205,[2]Sheet1!$A$2:$L$208,11,0)</f>
        <v>기술사무</v>
      </c>
      <c r="P205" s="18" t="str">
        <f>VLOOKUP($C205,[3]Sheet1!$A$2:$L$209,12,0)</f>
        <v>2파트</v>
      </c>
      <c r="Q205" s="18" t="str">
        <f>VLOOKUP($C205,[3]Sheet1!$A$2:$L$209,2,0)</f>
        <v>배명성</v>
      </c>
      <c r="R205" s="18" t="str">
        <f>VLOOKUP($C205,[3]Sheet1!$A$2:$L$209,11,0)</f>
        <v>기술사무</v>
      </c>
    </row>
    <row r="206" spans="1:18" x14ac:dyDescent="0.3">
      <c r="C206" s="5" t="s">
        <v>967</v>
      </c>
      <c r="D206" s="17" t="str">
        <f t="shared" si="3"/>
        <v>/</v>
      </c>
      <c r="E206" s="18" t="s">
        <v>968</v>
      </c>
      <c r="F206" s="18" t="s">
        <v>774</v>
      </c>
      <c r="H206" s="18" t="s">
        <v>50</v>
      </c>
      <c r="L206" s="18" t="str">
        <f>VLOOKUP($C206,[2]Sheet1!$A$2:$L$208,12,0)</f>
        <v>2파트</v>
      </c>
      <c r="M206" s="18" t="str">
        <f>VLOOKUP($C206,[2]Sheet1!$A$2:$L$208,2,0)</f>
        <v>이용훈</v>
      </c>
      <c r="N206" s="18" t="str">
        <f>VLOOKUP($C206,[2]Sheet1!$A$2:$L$208,11,0)</f>
        <v>기술사무</v>
      </c>
      <c r="P206" s="18" t="str">
        <f>VLOOKUP($C206,[3]Sheet1!$A$2:$L$209,12,0)</f>
        <v>2파트</v>
      </c>
      <c r="Q206" s="18" t="str">
        <f>VLOOKUP($C206,[3]Sheet1!$A$2:$L$209,2,0)</f>
        <v>이용훈</v>
      </c>
      <c r="R206" s="18" t="str">
        <f>VLOOKUP($C206,[3]Sheet1!$A$2:$L$209,11,0)</f>
        <v>기술사무</v>
      </c>
    </row>
    <row r="207" spans="1:18" x14ac:dyDescent="0.3">
      <c r="C207" s="5" t="s">
        <v>969</v>
      </c>
      <c r="D207" s="17" t="str">
        <f t="shared" si="3"/>
        <v>/</v>
      </c>
      <c r="E207" s="18" t="s">
        <v>970</v>
      </c>
      <c r="F207" s="18" t="s">
        <v>552</v>
      </c>
      <c r="H207" s="18" t="s">
        <v>552</v>
      </c>
      <c r="L207" s="18" t="str">
        <f>VLOOKUP($C207,[2]Sheet1!$A$2:$L$208,12,0)</f>
        <v>재무관리팀</v>
      </c>
      <c r="M207" s="18" t="str">
        <f>VLOOKUP($C207,[2]Sheet1!$A$2:$L$208,2,0)</f>
        <v>안광휘</v>
      </c>
      <c r="N207" s="18" t="str">
        <f>VLOOKUP($C207,[2]Sheet1!$A$2:$L$208,11,0)</f>
        <v>기술사무</v>
      </c>
      <c r="P207" s="18" t="str">
        <f>VLOOKUP($C207,[3]Sheet1!$A$2:$L$209,12,0)</f>
        <v>재무관리팀</v>
      </c>
      <c r="Q207" s="18" t="str">
        <f>VLOOKUP($C207,[3]Sheet1!$A$2:$L$209,2,0)</f>
        <v>안광휘</v>
      </c>
      <c r="R207" s="18" t="str">
        <f>VLOOKUP($C207,[3]Sheet1!$A$2:$L$209,11,0)</f>
        <v>기술사무</v>
      </c>
    </row>
    <row r="208" spans="1:18" x14ac:dyDescent="0.3">
      <c r="C208" s="5" t="s">
        <v>971</v>
      </c>
      <c r="D208" s="17" t="str">
        <f t="shared" si="3"/>
        <v>/</v>
      </c>
      <c r="E208" s="18" t="s">
        <v>972</v>
      </c>
      <c r="F208" s="18" t="s">
        <v>697</v>
      </c>
      <c r="H208" s="18" t="s">
        <v>697</v>
      </c>
      <c r="I208" s="18" t="s">
        <v>973</v>
      </c>
      <c r="L208" s="18" t="str">
        <f>VLOOKUP($C208,[2]Sheet1!$A$2:$L$208,12,0)</f>
        <v>경영지원실</v>
      </c>
      <c r="M208" s="18" t="str">
        <f>VLOOKUP($C208,[2]Sheet1!$A$2:$L$208,2,0)</f>
        <v>백민호</v>
      </c>
      <c r="N208" s="18" t="str">
        <f>VLOOKUP($C208,[2]Sheet1!$A$2:$L$208,11,0)</f>
        <v>임원</v>
      </c>
      <c r="P208" s="18" t="str">
        <f>VLOOKUP($C208,[3]Sheet1!$A$2:$L$209,12,0)</f>
        <v>경영지원실</v>
      </c>
      <c r="Q208" s="18" t="str">
        <f>VLOOKUP($C208,[3]Sheet1!$A$2:$L$209,2,0)</f>
        <v>백민호</v>
      </c>
      <c r="R208" s="18" t="str">
        <f>VLOOKUP($C208,[3]Sheet1!$A$2:$L$209,11,0)</f>
        <v>임원</v>
      </c>
    </row>
    <row r="209" spans="3:18" x14ac:dyDescent="0.3">
      <c r="C209" s="5" t="s">
        <v>974</v>
      </c>
      <c r="D209" s="17" t="str">
        <f t="shared" si="3"/>
        <v>/</v>
      </c>
      <c r="F209" s="18" t="s">
        <v>975</v>
      </c>
      <c r="H209" s="18" t="e">
        <f>VLOOKUP(C209,[4]Sheet1!$A$2:$L$251,12,0)</f>
        <v>#N/A</v>
      </c>
      <c r="L209" s="18" t="e">
        <f>VLOOKUP($C209,[2]Sheet1!$A$2:$L$208,12,0)</f>
        <v>#N/A</v>
      </c>
      <c r="M209" s="18" t="e">
        <f>VLOOKUP($C209,[2]Sheet1!$A$2:$L$208,2,0)</f>
        <v>#N/A</v>
      </c>
      <c r="N209" s="18" t="e">
        <f>VLOOKUP($C209,[2]Sheet1!$A$2:$L$208,11,0)</f>
        <v>#N/A</v>
      </c>
      <c r="P209" s="18" t="str">
        <f>VLOOKUP($C209,[3]Sheet1!$A$2:$L$209,12,0)</f>
        <v>자문역</v>
      </c>
      <c r="Q209" s="18" t="str">
        <f>VLOOKUP($C209,[3]Sheet1!$A$2:$L$209,2,0)</f>
        <v>강정호</v>
      </c>
      <c r="R209" s="18" t="str">
        <f>VLOOKUP($C209,[3]Sheet1!$A$2:$L$209,11,0)</f>
        <v>계약</v>
      </c>
    </row>
    <row r="210" spans="3:18" x14ac:dyDescent="0.3">
      <c r="C210" s="5" t="s">
        <v>976</v>
      </c>
      <c r="D210" s="17" t="str">
        <f t="shared" si="3"/>
        <v>/</v>
      </c>
      <c r="F210" s="18" t="s">
        <v>43</v>
      </c>
      <c r="H210" s="18" t="e">
        <f>VLOOKUP(C210,[4]Sheet1!$A$2:$L$251,12,0)</f>
        <v>#N/A</v>
      </c>
      <c r="L210" s="18" t="e">
        <f>VLOOKUP($C210,[2]Sheet1!$A$2:$L$208,12,0)</f>
        <v>#N/A</v>
      </c>
      <c r="M210" s="18" t="e">
        <f>VLOOKUP($C210,[2]Sheet1!$A$2:$L$208,2,0)</f>
        <v>#N/A</v>
      </c>
      <c r="N210" s="18" t="e">
        <f>VLOOKUP($C210,[2]Sheet1!$A$2:$L$208,11,0)</f>
        <v>#N/A</v>
      </c>
      <c r="P210" s="18" t="str">
        <f>VLOOKUP($C210,[3]Sheet1!$A$2:$L$209,12,0)</f>
        <v>Interface파트</v>
      </c>
      <c r="Q210" s="18" t="str">
        <f>VLOOKUP($C210,[3]Sheet1!$A$2:$L$209,2,0)</f>
        <v>김건우</v>
      </c>
      <c r="R210" s="18" t="str">
        <f>VLOOKUP($C210,[3]Sheet1!$A$2:$L$209,11,0)</f>
        <v>기술사무</v>
      </c>
    </row>
    <row r="211" spans="3:18" x14ac:dyDescent="0.3">
      <c r="C211" s="5" t="s">
        <v>977</v>
      </c>
      <c r="D211" s="17" t="str">
        <f t="shared" si="3"/>
        <v>/</v>
      </c>
      <c r="F211" s="18" t="s">
        <v>41</v>
      </c>
      <c r="H211" s="18" t="e">
        <f>VLOOKUP(C211,[4]Sheet1!$A$2:$L$251,12,0)</f>
        <v>#N/A</v>
      </c>
      <c r="L211" s="18" t="e">
        <f>VLOOKUP($C211,[2]Sheet1!$A$2:$L$208,12,0)</f>
        <v>#N/A</v>
      </c>
      <c r="M211" s="18" t="e">
        <f>VLOOKUP($C211,[2]Sheet1!$A$2:$L$208,2,0)</f>
        <v>#N/A</v>
      </c>
      <c r="N211" s="18" t="e">
        <f>VLOOKUP($C211,[2]Sheet1!$A$2:$L$208,11,0)</f>
        <v>#N/A</v>
      </c>
      <c r="P211" s="18" t="str">
        <f>VLOOKUP($C211,[3]Sheet1!$A$2:$L$209,12,0)</f>
        <v>Analog1파트</v>
      </c>
      <c r="Q211" s="18" t="str">
        <f>VLOOKUP($C211,[3]Sheet1!$A$2:$L$209,2,0)</f>
        <v>김효성</v>
      </c>
      <c r="R211" s="18" t="str">
        <f>VLOOKUP($C211,[3]Sheet1!$A$2:$L$209,11,0)</f>
        <v>기술사무</v>
      </c>
    </row>
    <row r="212" spans="3:18" x14ac:dyDescent="0.3">
      <c r="C212" s="5" t="s">
        <v>978</v>
      </c>
      <c r="D212" s="17" t="str">
        <f t="shared" si="3"/>
        <v>/</v>
      </c>
      <c r="F212" s="18" t="s">
        <v>38</v>
      </c>
      <c r="H212" s="18" t="e">
        <f>VLOOKUP(C212,[4]Sheet1!$A$2:$L$251,12,0)</f>
        <v>#N/A</v>
      </c>
      <c r="L212" s="18" t="e">
        <f>VLOOKUP($C212,[2]Sheet1!$A$2:$L$208,12,0)</f>
        <v>#N/A</v>
      </c>
      <c r="M212" s="18" t="e">
        <f>VLOOKUP($C212,[2]Sheet1!$A$2:$L$208,2,0)</f>
        <v>#N/A</v>
      </c>
      <c r="N212" s="18" t="e">
        <f>VLOOKUP($C212,[2]Sheet1!$A$2:$L$208,11,0)</f>
        <v>#N/A</v>
      </c>
      <c r="P212" s="18" t="str">
        <f>VLOOKUP($C212,[3]Sheet1!$A$2:$L$209,12,0)</f>
        <v>Digital IP파트</v>
      </c>
      <c r="Q212" s="18" t="str">
        <f>VLOOKUP($C212,[3]Sheet1!$A$2:$L$209,2,0)</f>
        <v>안태현</v>
      </c>
      <c r="R212" s="18" t="str">
        <f>VLOOKUP($C212,[3]Sheet1!$A$2:$L$209,11,0)</f>
        <v>기술사무</v>
      </c>
    </row>
    <row r="213" spans="3:18" x14ac:dyDescent="0.3">
      <c r="C213" s="5" t="s">
        <v>979</v>
      </c>
      <c r="D213" s="17" t="str">
        <f t="shared" si="3"/>
        <v>/</v>
      </c>
      <c r="F213" s="18" t="s">
        <v>774</v>
      </c>
      <c r="H213" s="18" t="e">
        <f>VLOOKUP(C213,[4]Sheet1!$A$2:$L$251,12,0)</f>
        <v>#N/A</v>
      </c>
      <c r="L213" s="18" t="e">
        <f>VLOOKUP($C213,[2]Sheet1!$A$2:$L$208,12,0)</f>
        <v>#N/A</v>
      </c>
      <c r="M213" s="18" t="e">
        <f>VLOOKUP($C213,[2]Sheet1!$A$2:$L$208,2,0)</f>
        <v>#N/A</v>
      </c>
      <c r="N213" s="18" t="e">
        <f>VLOOKUP($C213,[2]Sheet1!$A$2:$L$208,11,0)</f>
        <v>#N/A</v>
      </c>
      <c r="P213" s="18" t="str">
        <f>VLOOKUP($C213,[3]Sheet1!$A$2:$L$209,12,0)</f>
        <v>2파트</v>
      </c>
      <c r="Q213" s="18" t="str">
        <f>VLOOKUP($C213,[3]Sheet1!$A$2:$L$209,2,0)</f>
        <v>김영희</v>
      </c>
      <c r="R213" s="18" t="str">
        <f>VLOOKUP($C213,[3]Sheet1!$A$2:$L$209,11,0)</f>
        <v>기술사무</v>
      </c>
    </row>
    <row r="214" spans="3:18" x14ac:dyDescent="0.3">
      <c r="C214" s="5" t="s">
        <v>980</v>
      </c>
      <c r="D214" s="17" t="str">
        <f t="shared" si="3"/>
        <v>/</v>
      </c>
      <c r="F214" s="18" t="s">
        <v>43</v>
      </c>
      <c r="H214" s="18" t="e">
        <f>VLOOKUP(C214,[4]Sheet1!$A$2:$L$251,12,0)</f>
        <v>#N/A</v>
      </c>
      <c r="L214" s="18" t="e">
        <f>VLOOKUP($C214,[2]Sheet1!$A$2:$L$208,12,0)</f>
        <v>#N/A</v>
      </c>
      <c r="M214" s="18" t="e">
        <f>VLOOKUP($C214,[2]Sheet1!$A$2:$L$208,2,0)</f>
        <v>#N/A</v>
      </c>
      <c r="N214" s="18" t="e">
        <f>VLOOKUP($C214,[2]Sheet1!$A$2:$L$208,11,0)</f>
        <v>#N/A</v>
      </c>
      <c r="P214" s="18" t="str">
        <f>VLOOKUP($C214,[3]Sheet1!$A$2:$L$209,12,0)</f>
        <v>Interface파트</v>
      </c>
      <c r="Q214" s="18" t="str">
        <f>VLOOKUP($C214,[3]Sheet1!$A$2:$L$209,2,0)</f>
        <v>황준섭</v>
      </c>
      <c r="R214" s="18" t="str">
        <f>VLOOKUP($C214,[3]Sheet1!$A$2:$L$209,11,0)</f>
        <v>기술사무</v>
      </c>
    </row>
    <row r="215" spans="3:18" x14ac:dyDescent="0.3">
      <c r="C215" s="5" t="s">
        <v>981</v>
      </c>
      <c r="D215" s="17" t="str">
        <f t="shared" si="3"/>
        <v>/</v>
      </c>
      <c r="F215" s="18" t="s">
        <v>774</v>
      </c>
      <c r="H215" s="18" t="e">
        <f>VLOOKUP(C215,[4]Sheet1!$A$2:$L$251,12,0)</f>
        <v>#N/A</v>
      </c>
      <c r="L215" s="18" t="e">
        <f>VLOOKUP($C215,[2]Sheet1!$A$2:$L$208,12,0)</f>
        <v>#N/A</v>
      </c>
      <c r="M215" s="18" t="e">
        <f>VLOOKUP($C215,[2]Sheet1!$A$2:$L$208,2,0)</f>
        <v>#N/A</v>
      </c>
      <c r="N215" s="18" t="e">
        <f>VLOOKUP($C215,[2]Sheet1!$A$2:$L$208,11,0)</f>
        <v>#N/A</v>
      </c>
      <c r="P215" s="18" t="str">
        <f>VLOOKUP($C215,[3]Sheet1!$A$2:$L$209,12,0)</f>
        <v>2파트</v>
      </c>
      <c r="Q215" s="18" t="str">
        <f>VLOOKUP($C215,[3]Sheet1!$A$2:$L$209,2,0)</f>
        <v>이한필</v>
      </c>
      <c r="R215" s="18" t="str">
        <f>VLOOKUP($C215,[3]Sheet1!$A$2:$L$209,11,0)</f>
        <v>기술사무</v>
      </c>
    </row>
    <row r="216" spans="3:18" x14ac:dyDescent="0.3">
      <c r="C216" s="5" t="s">
        <v>982</v>
      </c>
      <c r="D216" s="17" t="str">
        <f t="shared" si="3"/>
        <v>/</v>
      </c>
      <c r="F216" s="18" t="s">
        <v>11</v>
      </c>
      <c r="H216" s="18" t="e">
        <f>VLOOKUP(C216,[4]Sheet1!$A$2:$L$251,12,0)</f>
        <v>#N/A</v>
      </c>
      <c r="L216" s="18" t="e">
        <f>VLOOKUP($C216,[2]Sheet1!$A$2:$L$208,12,0)</f>
        <v>#N/A</v>
      </c>
      <c r="M216" s="18" t="e">
        <f>VLOOKUP($C216,[2]Sheet1!$A$2:$L$208,2,0)</f>
        <v>#N/A</v>
      </c>
      <c r="N216" s="18" t="e">
        <f>VLOOKUP($C216,[2]Sheet1!$A$2:$L$208,11,0)</f>
        <v>#N/A</v>
      </c>
      <c r="P216" s="18" t="str">
        <f>VLOOKUP($C216,[3]Sheet1!$A$2:$L$209,12,0)</f>
        <v>심천지사</v>
      </c>
      <c r="Q216" s="18" t="str">
        <f>VLOOKUP($C216,[3]Sheet1!$A$2:$L$209,2,0)</f>
        <v>XiongFeng</v>
      </c>
      <c r="R216" s="18" t="str">
        <f>VLOOKUP($C216,[3]Sheet1!$A$2:$L$209,11,0)</f>
        <v>기술사무</v>
      </c>
    </row>
    <row r="217" spans="3:18" x14ac:dyDescent="0.3">
      <c r="C217" s="5" t="s">
        <v>983</v>
      </c>
      <c r="D217" s="17" t="str">
        <f t="shared" si="3"/>
        <v>/</v>
      </c>
      <c r="F217" s="18" t="s">
        <v>593</v>
      </c>
      <c r="H217" s="18" t="e">
        <f>VLOOKUP(C217,[4]Sheet1!$A$2:$L$251,12,0)</f>
        <v>#N/A</v>
      </c>
      <c r="L217" s="18" t="e">
        <f>VLOOKUP($C217,[2]Sheet1!$A$2:$L$208,12,0)</f>
        <v>#N/A</v>
      </c>
      <c r="M217" s="18" t="e">
        <f>VLOOKUP($C217,[2]Sheet1!$A$2:$L$208,2,0)</f>
        <v>#N/A</v>
      </c>
      <c r="N217" s="18" t="e">
        <f>VLOOKUP($C217,[2]Sheet1!$A$2:$L$208,11,0)</f>
        <v>#N/A</v>
      </c>
      <c r="P217" s="18" t="str">
        <f>VLOOKUP($C217,[3]Sheet1!$A$2:$L$209,12,0)</f>
        <v>Layout팀</v>
      </c>
      <c r="Q217" s="18" t="str">
        <f>VLOOKUP($C217,[3]Sheet1!$A$2:$L$209,2,0)</f>
        <v>강찬효</v>
      </c>
      <c r="R217" s="18" t="str">
        <f>VLOOKUP($C217,[3]Sheet1!$A$2:$L$209,11,0)</f>
        <v>기술사무</v>
      </c>
    </row>
    <row r="218" spans="3:18" x14ac:dyDescent="0.3">
      <c r="C218" s="5" t="s">
        <v>984</v>
      </c>
      <c r="D218" s="17" t="str">
        <f t="shared" si="3"/>
        <v>/</v>
      </c>
      <c r="F218" s="18" t="e">
        <v>#N/A</v>
      </c>
      <c r="H218" s="18" t="e">
        <f>VLOOKUP(C218,[4]Sheet1!$A$2:$L$251,12,0)</f>
        <v>#N/A</v>
      </c>
      <c r="L218" s="18" t="e">
        <f>VLOOKUP($C218,[2]Sheet1!$A$2:$L$208,12,0)</f>
        <v>#N/A</v>
      </c>
      <c r="M218" s="18" t="e">
        <f>VLOOKUP($C218,[2]Sheet1!$A$2:$L$208,2,0)</f>
        <v>#N/A</v>
      </c>
      <c r="N218" s="18" t="e">
        <f>VLOOKUP($C218,[2]Sheet1!$A$2:$L$208,11,0)</f>
        <v>#N/A</v>
      </c>
      <c r="P218" s="18" t="e">
        <f>VLOOKUP($C218,[3]Sheet1!$A$2:$L$209,12,0)</f>
        <v>#N/A</v>
      </c>
      <c r="Q218" s="18" t="e">
        <f>VLOOKUP($C218,[3]Sheet1!$A$2:$L$209,2,0)</f>
        <v>#N/A</v>
      </c>
      <c r="R218" s="18" t="e">
        <f>VLOOKUP($C218,[3]Sheet1!$A$2:$L$209,11,0)</f>
        <v>#N/A</v>
      </c>
    </row>
    <row r="219" spans="3:18" x14ac:dyDescent="0.3">
      <c r="C219" s="5" t="s">
        <v>985</v>
      </c>
      <c r="D219" s="17" t="str">
        <f t="shared" si="3"/>
        <v>/</v>
      </c>
      <c r="F219" s="18" t="s">
        <v>25</v>
      </c>
      <c r="H219" s="18" t="e">
        <f>VLOOKUP(C219,[4]Sheet1!$A$2:$L$251,12,0)</f>
        <v>#N/A</v>
      </c>
      <c r="L219" s="18" t="e">
        <f>VLOOKUP($C219,[2]Sheet1!$A$2:$L$208,12,0)</f>
        <v>#N/A</v>
      </c>
      <c r="M219" s="18" t="e">
        <f>VLOOKUP($C219,[2]Sheet1!$A$2:$L$208,2,0)</f>
        <v>#N/A</v>
      </c>
      <c r="N219" s="18" t="e">
        <f>VLOOKUP($C219,[2]Sheet1!$A$2:$L$208,11,0)</f>
        <v>#N/A</v>
      </c>
      <c r="P219" s="18" t="str">
        <f>VLOOKUP($C219,[3]Sheet1!$A$2:$L$209,12,0)</f>
        <v>Test팀</v>
      </c>
      <c r="Q219" s="18" t="str">
        <f>VLOOKUP($C219,[3]Sheet1!$A$2:$L$209,2,0)</f>
        <v>강다영</v>
      </c>
      <c r="R219" s="18" t="str">
        <f>VLOOKUP($C219,[3]Sheet1!$A$2:$L$209,11,0)</f>
        <v>기술사무</v>
      </c>
    </row>
    <row r="220" spans="3:18" x14ac:dyDescent="0.3">
      <c r="C220" s="5" t="s">
        <v>986</v>
      </c>
      <c r="D220" s="17" t="str">
        <f t="shared" si="3"/>
        <v>/</v>
      </c>
      <c r="F220" s="18" t="e">
        <v>#N/A</v>
      </c>
      <c r="H220" s="18" t="e">
        <f>VLOOKUP(C220,[4]Sheet1!$A$2:$L$251,12,0)</f>
        <v>#N/A</v>
      </c>
      <c r="L220" s="18" t="e">
        <f>VLOOKUP($C220,[2]Sheet1!$A$2:$L$208,12,0)</f>
        <v>#N/A</v>
      </c>
      <c r="M220" s="18" t="e">
        <f>VLOOKUP($C220,[2]Sheet1!$A$2:$L$208,2,0)</f>
        <v>#N/A</v>
      </c>
      <c r="N220" s="18" t="e">
        <f>VLOOKUP($C220,[2]Sheet1!$A$2:$L$208,11,0)</f>
        <v>#N/A</v>
      </c>
      <c r="P220" s="18" t="e">
        <f>VLOOKUP($C220,[3]Sheet1!$A$2:$L$209,12,0)</f>
        <v>#N/A</v>
      </c>
      <c r="Q220" s="18" t="e">
        <f>VLOOKUP($C220,[3]Sheet1!$A$2:$L$209,2,0)</f>
        <v>#N/A</v>
      </c>
      <c r="R220" s="18" t="e">
        <f>VLOOKUP($C220,[3]Sheet1!$A$2:$L$209,11,0)</f>
        <v>#N/A</v>
      </c>
    </row>
    <row r="221" spans="3:18" x14ac:dyDescent="0.3">
      <c r="C221" s="5" t="s">
        <v>987</v>
      </c>
      <c r="D221" s="17" t="str">
        <f t="shared" si="3"/>
        <v>/</v>
      </c>
      <c r="F221" s="18" t="e">
        <v>#N/A</v>
      </c>
      <c r="H221" s="18" t="e">
        <f>VLOOKUP(C221,[4]Sheet1!$A$2:$L$251,12,0)</f>
        <v>#N/A</v>
      </c>
      <c r="L221" s="18" t="e">
        <f>VLOOKUP($C221,[2]Sheet1!$A$2:$L$208,12,0)</f>
        <v>#N/A</v>
      </c>
      <c r="M221" s="18" t="e">
        <f>VLOOKUP($C221,[2]Sheet1!$A$2:$L$208,2,0)</f>
        <v>#N/A</v>
      </c>
      <c r="N221" s="18" t="e">
        <f>VLOOKUP($C221,[2]Sheet1!$A$2:$L$208,11,0)</f>
        <v>#N/A</v>
      </c>
      <c r="P221" s="18" t="e">
        <f>VLOOKUP($C221,[3]Sheet1!$A$2:$L$209,12,0)</f>
        <v>#N/A</v>
      </c>
      <c r="Q221" s="18" t="e">
        <f>VLOOKUP($C221,[3]Sheet1!$A$2:$L$209,2,0)</f>
        <v>#N/A</v>
      </c>
      <c r="R221" s="18" t="e">
        <f>VLOOKUP($C221,[3]Sheet1!$A$2:$L$209,11,0)</f>
        <v>#N/A</v>
      </c>
    </row>
    <row r="222" spans="3:18" x14ac:dyDescent="0.3">
      <c r="C222" s="5" t="s">
        <v>988</v>
      </c>
      <c r="D222" s="17" t="str">
        <f t="shared" si="3"/>
        <v>/</v>
      </c>
      <c r="F222" s="18" t="e">
        <v>#N/A</v>
      </c>
      <c r="H222" s="18" t="e">
        <f>VLOOKUP(C222,[4]Sheet1!$A$2:$L$251,12,0)</f>
        <v>#N/A</v>
      </c>
      <c r="L222" s="18" t="e">
        <f>VLOOKUP($C222,[2]Sheet1!$A$2:$L$208,12,0)</f>
        <v>#N/A</v>
      </c>
      <c r="M222" s="18" t="e">
        <f>VLOOKUP($C222,[2]Sheet1!$A$2:$L$208,2,0)</f>
        <v>#N/A</v>
      </c>
      <c r="N222" s="18" t="e">
        <f>VLOOKUP($C222,[2]Sheet1!$A$2:$L$208,11,0)</f>
        <v>#N/A</v>
      </c>
      <c r="P222" s="18" t="e">
        <f>VLOOKUP($C222,[3]Sheet1!$A$2:$L$209,12,0)</f>
        <v>#N/A</v>
      </c>
      <c r="Q222" s="18" t="e">
        <f>VLOOKUP($C222,[3]Sheet1!$A$2:$L$209,2,0)</f>
        <v>#N/A</v>
      </c>
      <c r="R222" s="18" t="e">
        <f>VLOOKUP($C222,[3]Sheet1!$A$2:$L$209,11,0)</f>
        <v>#N/A</v>
      </c>
    </row>
    <row r="223" spans="3:18" x14ac:dyDescent="0.3">
      <c r="C223" s="5" t="s">
        <v>989</v>
      </c>
      <c r="D223" s="17" t="str">
        <f t="shared" si="3"/>
        <v>/</v>
      </c>
      <c r="F223" s="18" t="e">
        <v>#N/A</v>
      </c>
      <c r="H223" s="18" t="e">
        <f>VLOOKUP(C223,[4]Sheet1!$A$2:$L$251,12,0)</f>
        <v>#N/A</v>
      </c>
      <c r="L223" s="18" t="e">
        <f>VLOOKUP($C223,[2]Sheet1!$A$2:$L$208,12,0)</f>
        <v>#N/A</v>
      </c>
      <c r="M223" s="18" t="e">
        <f>VLOOKUP($C223,[2]Sheet1!$A$2:$L$208,2,0)</f>
        <v>#N/A</v>
      </c>
      <c r="N223" s="18" t="e">
        <f>VLOOKUP($C223,[2]Sheet1!$A$2:$L$208,11,0)</f>
        <v>#N/A</v>
      </c>
      <c r="P223" s="18" t="e">
        <f>VLOOKUP($C223,[3]Sheet1!$A$2:$L$209,12,0)</f>
        <v>#N/A</v>
      </c>
      <c r="Q223" s="18" t="e">
        <f>VLOOKUP($C223,[3]Sheet1!$A$2:$L$209,2,0)</f>
        <v>#N/A</v>
      </c>
      <c r="R223" s="18" t="e">
        <f>VLOOKUP($C223,[3]Sheet1!$A$2:$L$209,11,0)</f>
        <v>#N/A</v>
      </c>
    </row>
    <row r="224" spans="3:18" x14ac:dyDescent="0.3">
      <c r="C224" s="5" t="s">
        <v>990</v>
      </c>
      <c r="D224" s="17" t="str">
        <f t="shared" si="3"/>
        <v>/</v>
      </c>
      <c r="F224" s="18" t="e">
        <v>#N/A</v>
      </c>
      <c r="H224" s="18" t="e">
        <f>VLOOKUP(C224,[4]Sheet1!$A$2:$L$251,12,0)</f>
        <v>#N/A</v>
      </c>
      <c r="L224" s="18" t="e">
        <f>VLOOKUP($C224,[2]Sheet1!$A$2:$L$208,12,0)</f>
        <v>#N/A</v>
      </c>
      <c r="M224" s="18" t="e">
        <f>VLOOKUP($C224,[2]Sheet1!$A$2:$L$208,2,0)</f>
        <v>#N/A</v>
      </c>
      <c r="N224" s="18" t="e">
        <f>VLOOKUP($C224,[2]Sheet1!$A$2:$L$208,11,0)</f>
        <v>#N/A</v>
      </c>
      <c r="P224" s="18" t="e">
        <f>VLOOKUP($C224,[3]Sheet1!$A$2:$L$209,12,0)</f>
        <v>#N/A</v>
      </c>
      <c r="Q224" s="18" t="e">
        <f>VLOOKUP($C224,[3]Sheet1!$A$2:$L$209,2,0)</f>
        <v>#N/A</v>
      </c>
      <c r="R224" s="18" t="e">
        <f>VLOOKUP($C224,[3]Sheet1!$A$2:$L$209,11,0)</f>
        <v>#N/A</v>
      </c>
    </row>
    <row r="225" spans="3:18" x14ac:dyDescent="0.3">
      <c r="C225" s="5" t="s">
        <v>991</v>
      </c>
      <c r="D225" s="17" t="str">
        <f t="shared" si="3"/>
        <v>/</v>
      </c>
      <c r="F225" s="18" t="e">
        <v>#N/A</v>
      </c>
      <c r="H225" s="18" t="e">
        <f>VLOOKUP(C225,[4]Sheet1!$A$2:$L$251,12,0)</f>
        <v>#N/A</v>
      </c>
      <c r="L225" s="18" t="e">
        <f>VLOOKUP($C225,[2]Sheet1!$A$2:$L$208,12,0)</f>
        <v>#N/A</v>
      </c>
      <c r="M225" s="18" t="e">
        <f>VLOOKUP($C225,[2]Sheet1!$A$2:$L$208,2,0)</f>
        <v>#N/A</v>
      </c>
      <c r="N225" s="18" t="e">
        <f>VLOOKUP($C225,[2]Sheet1!$A$2:$L$208,11,0)</f>
        <v>#N/A</v>
      </c>
      <c r="P225" s="18" t="e">
        <f>VLOOKUP($C225,[3]Sheet1!$A$2:$L$209,12,0)</f>
        <v>#N/A</v>
      </c>
      <c r="Q225" s="18" t="e">
        <f>VLOOKUP($C225,[3]Sheet1!$A$2:$L$209,2,0)</f>
        <v>#N/A</v>
      </c>
      <c r="R225" s="18" t="e">
        <f>VLOOKUP($C225,[3]Sheet1!$A$2:$L$209,11,0)</f>
        <v>#N/A</v>
      </c>
    </row>
    <row r="226" spans="3:18" x14ac:dyDescent="0.3">
      <c r="C226" s="5" t="s">
        <v>992</v>
      </c>
      <c r="D226" s="17" t="str">
        <f t="shared" si="3"/>
        <v>/</v>
      </c>
      <c r="F226" s="18" t="e">
        <v>#N/A</v>
      </c>
      <c r="H226" s="18" t="e">
        <f>VLOOKUP(C226,[4]Sheet1!$A$2:$L$251,12,0)</f>
        <v>#N/A</v>
      </c>
      <c r="L226" s="18" t="e">
        <f>VLOOKUP($C226,[2]Sheet1!$A$2:$L$208,12,0)</f>
        <v>#N/A</v>
      </c>
      <c r="M226" s="18" t="e">
        <f>VLOOKUP($C226,[2]Sheet1!$A$2:$L$208,2,0)</f>
        <v>#N/A</v>
      </c>
      <c r="N226" s="18" t="e">
        <f>VLOOKUP($C226,[2]Sheet1!$A$2:$L$208,11,0)</f>
        <v>#N/A</v>
      </c>
      <c r="P226" s="18" t="e">
        <f>VLOOKUP($C226,[3]Sheet1!$A$2:$L$209,12,0)</f>
        <v>#N/A</v>
      </c>
      <c r="Q226" s="18" t="e">
        <f>VLOOKUP($C226,[3]Sheet1!$A$2:$L$209,2,0)</f>
        <v>#N/A</v>
      </c>
      <c r="R226" s="18" t="e">
        <f>VLOOKUP($C226,[3]Sheet1!$A$2:$L$209,11,0)</f>
        <v>#N/A</v>
      </c>
    </row>
    <row r="227" spans="3:18" x14ac:dyDescent="0.3">
      <c r="C227" s="5" t="s">
        <v>993</v>
      </c>
      <c r="D227" s="17" t="str">
        <f t="shared" si="3"/>
        <v>/</v>
      </c>
      <c r="F227" s="18" t="e">
        <v>#N/A</v>
      </c>
      <c r="H227" s="18" t="e">
        <f>VLOOKUP(C227,[4]Sheet1!$A$2:$L$251,12,0)</f>
        <v>#N/A</v>
      </c>
      <c r="L227" s="18" t="e">
        <f>VLOOKUP($C227,[2]Sheet1!$A$2:$L$208,12,0)</f>
        <v>#N/A</v>
      </c>
      <c r="M227" s="18" t="e">
        <f>VLOOKUP($C227,[2]Sheet1!$A$2:$L$208,2,0)</f>
        <v>#N/A</v>
      </c>
      <c r="N227" s="18" t="e">
        <f>VLOOKUP($C227,[2]Sheet1!$A$2:$L$208,11,0)</f>
        <v>#N/A</v>
      </c>
      <c r="P227" s="18" t="e">
        <f>VLOOKUP($C227,[3]Sheet1!$A$2:$L$209,12,0)</f>
        <v>#N/A</v>
      </c>
      <c r="Q227" s="18" t="e">
        <f>VLOOKUP($C227,[3]Sheet1!$A$2:$L$209,2,0)</f>
        <v>#N/A</v>
      </c>
      <c r="R227" s="18" t="e">
        <f>VLOOKUP($C227,[3]Sheet1!$A$2:$L$209,11,0)</f>
        <v>#N/A</v>
      </c>
    </row>
    <row r="228" spans="3:18" x14ac:dyDescent="0.3">
      <c r="C228" s="5" t="s">
        <v>994</v>
      </c>
      <c r="D228" s="17" t="str">
        <f t="shared" si="3"/>
        <v>/</v>
      </c>
      <c r="F228" s="18" t="e">
        <v>#N/A</v>
      </c>
      <c r="H228" s="18" t="e">
        <f>VLOOKUP(C228,[4]Sheet1!$A$2:$L$251,12,0)</f>
        <v>#N/A</v>
      </c>
      <c r="L228" s="18" t="e">
        <f>VLOOKUP($C228,[2]Sheet1!$A$2:$L$208,12,0)</f>
        <v>#N/A</v>
      </c>
      <c r="M228" s="18" t="e">
        <f>VLOOKUP($C228,[2]Sheet1!$A$2:$L$208,2,0)</f>
        <v>#N/A</v>
      </c>
      <c r="N228" s="18" t="e">
        <f>VLOOKUP($C228,[2]Sheet1!$A$2:$L$208,11,0)</f>
        <v>#N/A</v>
      </c>
      <c r="P228" s="18" t="e">
        <f>VLOOKUP($C228,[3]Sheet1!$A$2:$L$209,12,0)</f>
        <v>#N/A</v>
      </c>
      <c r="Q228" s="18" t="e">
        <f>VLOOKUP($C228,[3]Sheet1!$A$2:$L$209,2,0)</f>
        <v>#N/A</v>
      </c>
      <c r="R228" s="18" t="e">
        <f>VLOOKUP($C228,[3]Sheet1!$A$2:$L$209,11,0)</f>
        <v>#N/A</v>
      </c>
    </row>
    <row r="229" spans="3:18" x14ac:dyDescent="0.3">
      <c r="C229" s="5" t="s">
        <v>995</v>
      </c>
      <c r="D229" s="17" t="str">
        <f t="shared" si="3"/>
        <v>/</v>
      </c>
      <c r="F229" s="18" t="e">
        <v>#N/A</v>
      </c>
      <c r="H229" s="18" t="e">
        <f>VLOOKUP(C229,[4]Sheet1!$A$2:$L$251,12,0)</f>
        <v>#N/A</v>
      </c>
      <c r="L229" s="18" t="e">
        <f>VLOOKUP($C229,[2]Sheet1!$A$2:$L$208,12,0)</f>
        <v>#N/A</v>
      </c>
      <c r="M229" s="18" t="e">
        <f>VLOOKUP($C229,[2]Sheet1!$A$2:$L$208,2,0)</f>
        <v>#N/A</v>
      </c>
      <c r="N229" s="18" t="e">
        <f>VLOOKUP($C229,[2]Sheet1!$A$2:$L$208,11,0)</f>
        <v>#N/A</v>
      </c>
      <c r="P229" s="18" t="e">
        <f>VLOOKUP($C229,[3]Sheet1!$A$2:$L$209,12,0)</f>
        <v>#N/A</v>
      </c>
      <c r="Q229" s="18" t="e">
        <f>VLOOKUP($C229,[3]Sheet1!$A$2:$L$209,2,0)</f>
        <v>#N/A</v>
      </c>
      <c r="R229" s="18" t="e">
        <f>VLOOKUP($C229,[3]Sheet1!$A$2:$L$209,11,0)</f>
        <v>#N/A</v>
      </c>
    </row>
    <row r="230" spans="3:18" x14ac:dyDescent="0.3">
      <c r="C230" s="5" t="s">
        <v>996</v>
      </c>
      <c r="D230" s="17" t="str">
        <f t="shared" si="3"/>
        <v>/</v>
      </c>
      <c r="F230" s="18" t="e">
        <v>#N/A</v>
      </c>
      <c r="H230" s="18" t="e">
        <f>VLOOKUP(C230,[4]Sheet1!$A$2:$L$251,12,0)</f>
        <v>#N/A</v>
      </c>
      <c r="L230" s="18" t="e">
        <f>VLOOKUP($C230,[2]Sheet1!$A$2:$L$208,12,0)</f>
        <v>#N/A</v>
      </c>
      <c r="M230" s="18" t="e">
        <f>VLOOKUP($C230,[2]Sheet1!$A$2:$L$208,2,0)</f>
        <v>#N/A</v>
      </c>
      <c r="N230" s="18" t="e">
        <f>VLOOKUP($C230,[2]Sheet1!$A$2:$L$208,11,0)</f>
        <v>#N/A</v>
      </c>
      <c r="P230" s="18" t="e">
        <f>VLOOKUP($C230,[3]Sheet1!$A$2:$L$209,12,0)</f>
        <v>#N/A</v>
      </c>
      <c r="Q230" s="18" t="e">
        <f>VLOOKUP($C230,[3]Sheet1!$A$2:$L$209,2,0)</f>
        <v>#N/A</v>
      </c>
      <c r="R230" s="18" t="e">
        <f>VLOOKUP($C230,[3]Sheet1!$A$2:$L$209,11,0)</f>
        <v>#N/A</v>
      </c>
    </row>
    <row r="231" spans="3:18" x14ac:dyDescent="0.3">
      <c r="C231" s="5" t="s">
        <v>997</v>
      </c>
      <c r="D231" s="17" t="str">
        <f t="shared" si="3"/>
        <v>/</v>
      </c>
      <c r="F231" s="18" t="e">
        <v>#N/A</v>
      </c>
      <c r="H231" s="18" t="e">
        <f>VLOOKUP(C231,[4]Sheet1!$A$2:$L$251,12,0)</f>
        <v>#N/A</v>
      </c>
      <c r="L231" s="18" t="e">
        <f>VLOOKUP($C231,[2]Sheet1!$A$2:$L$208,12,0)</f>
        <v>#N/A</v>
      </c>
      <c r="M231" s="18" t="e">
        <f>VLOOKUP($C231,[2]Sheet1!$A$2:$L$208,2,0)</f>
        <v>#N/A</v>
      </c>
      <c r="N231" s="18" t="e">
        <f>VLOOKUP($C231,[2]Sheet1!$A$2:$L$208,11,0)</f>
        <v>#N/A</v>
      </c>
      <c r="P231" s="18" t="e">
        <f>VLOOKUP($C231,[3]Sheet1!$A$2:$L$209,12,0)</f>
        <v>#N/A</v>
      </c>
      <c r="Q231" s="18" t="e">
        <f>VLOOKUP($C231,[3]Sheet1!$A$2:$L$209,2,0)</f>
        <v>#N/A</v>
      </c>
      <c r="R231" s="18" t="e">
        <f>VLOOKUP($C231,[3]Sheet1!$A$2:$L$209,11,0)</f>
        <v>#N/A</v>
      </c>
    </row>
    <row r="232" spans="3:18" x14ac:dyDescent="0.3">
      <c r="C232" s="5" t="s">
        <v>998</v>
      </c>
      <c r="D232" s="17" t="str">
        <f t="shared" si="3"/>
        <v>/</v>
      </c>
      <c r="F232" s="18" t="e">
        <v>#N/A</v>
      </c>
      <c r="H232" s="18" t="e">
        <f>VLOOKUP(C232,[4]Sheet1!$A$2:$L$251,12,0)</f>
        <v>#N/A</v>
      </c>
      <c r="L232" s="18" t="e">
        <f>VLOOKUP($C232,[2]Sheet1!$A$2:$L$208,12,0)</f>
        <v>#N/A</v>
      </c>
      <c r="M232" s="18" t="e">
        <f>VLOOKUP($C232,[2]Sheet1!$A$2:$L$208,2,0)</f>
        <v>#N/A</v>
      </c>
      <c r="N232" s="18" t="e">
        <f>VLOOKUP($C232,[2]Sheet1!$A$2:$L$208,11,0)</f>
        <v>#N/A</v>
      </c>
      <c r="P232" s="18" t="e">
        <f>VLOOKUP($C232,[3]Sheet1!$A$2:$L$209,12,0)</f>
        <v>#N/A</v>
      </c>
      <c r="Q232" s="18" t="e">
        <f>VLOOKUP($C232,[3]Sheet1!$A$2:$L$209,2,0)</f>
        <v>#N/A</v>
      </c>
      <c r="R232" s="18" t="e">
        <f>VLOOKUP($C232,[3]Sheet1!$A$2:$L$209,11,0)</f>
        <v>#N/A</v>
      </c>
    </row>
    <row r="233" spans="3:18" x14ac:dyDescent="0.3">
      <c r="C233" s="5" t="s">
        <v>999</v>
      </c>
      <c r="D233" s="17" t="str">
        <f t="shared" si="3"/>
        <v>/</v>
      </c>
      <c r="F233" s="18" t="e">
        <v>#N/A</v>
      </c>
      <c r="H233" s="18" t="e">
        <f>VLOOKUP(C233,[4]Sheet1!$A$2:$L$251,12,0)</f>
        <v>#N/A</v>
      </c>
      <c r="L233" s="18" t="e">
        <f>VLOOKUP($C233,[2]Sheet1!$A$2:$L$208,12,0)</f>
        <v>#N/A</v>
      </c>
      <c r="M233" s="18" t="e">
        <f>VLOOKUP($C233,[2]Sheet1!$A$2:$L$208,2,0)</f>
        <v>#N/A</v>
      </c>
      <c r="N233" s="18" t="e">
        <f>VLOOKUP($C233,[2]Sheet1!$A$2:$L$208,11,0)</f>
        <v>#N/A</v>
      </c>
      <c r="P233" s="18" t="e">
        <f>VLOOKUP($C233,[3]Sheet1!$A$2:$L$209,12,0)</f>
        <v>#N/A</v>
      </c>
      <c r="Q233" s="18" t="e">
        <f>VLOOKUP($C233,[3]Sheet1!$A$2:$L$209,2,0)</f>
        <v>#N/A</v>
      </c>
      <c r="R233" s="18" t="e">
        <f>VLOOKUP($C233,[3]Sheet1!$A$2:$L$209,11,0)</f>
        <v>#N/A</v>
      </c>
    </row>
    <row r="234" spans="3:18" x14ac:dyDescent="0.3">
      <c r="C234" s="5" t="s">
        <v>1000</v>
      </c>
      <c r="D234" s="17" t="str">
        <f t="shared" si="3"/>
        <v>/</v>
      </c>
      <c r="F234" s="18" t="e">
        <v>#N/A</v>
      </c>
      <c r="H234" s="18" t="e">
        <f>VLOOKUP(C234,[4]Sheet1!$A$2:$L$251,12,0)</f>
        <v>#N/A</v>
      </c>
      <c r="L234" s="18" t="e">
        <f>VLOOKUP($C234,[2]Sheet1!$A$2:$L$208,12,0)</f>
        <v>#N/A</v>
      </c>
      <c r="M234" s="18" t="e">
        <f>VLOOKUP($C234,[2]Sheet1!$A$2:$L$208,2,0)</f>
        <v>#N/A</v>
      </c>
      <c r="N234" s="18" t="e">
        <f>VLOOKUP($C234,[2]Sheet1!$A$2:$L$208,11,0)</f>
        <v>#N/A</v>
      </c>
      <c r="P234" s="18" t="e">
        <f>VLOOKUP($C234,[3]Sheet1!$A$2:$L$209,12,0)</f>
        <v>#N/A</v>
      </c>
      <c r="Q234" s="18" t="e">
        <f>VLOOKUP($C234,[3]Sheet1!$A$2:$L$209,2,0)</f>
        <v>#N/A</v>
      </c>
      <c r="R234" s="18" t="e">
        <f>VLOOKUP($C234,[3]Sheet1!$A$2:$L$209,11,0)</f>
        <v>#N/A</v>
      </c>
    </row>
    <row r="235" spans="3:18" x14ac:dyDescent="0.3">
      <c r="C235" s="5" t="s">
        <v>1001</v>
      </c>
      <c r="D235" s="17" t="str">
        <f t="shared" si="3"/>
        <v>/</v>
      </c>
      <c r="F235" s="18" t="e">
        <v>#N/A</v>
      </c>
      <c r="H235" s="18" t="e">
        <f>VLOOKUP(C235,[4]Sheet1!$A$2:$L$251,12,0)</f>
        <v>#N/A</v>
      </c>
      <c r="L235" s="18" t="e">
        <f>VLOOKUP($C235,[2]Sheet1!$A$2:$L$208,12,0)</f>
        <v>#N/A</v>
      </c>
      <c r="M235" s="18" t="e">
        <f>VLOOKUP($C235,[2]Sheet1!$A$2:$L$208,2,0)</f>
        <v>#N/A</v>
      </c>
      <c r="N235" s="18" t="e">
        <f>VLOOKUP($C235,[2]Sheet1!$A$2:$L$208,11,0)</f>
        <v>#N/A</v>
      </c>
      <c r="P235" s="18" t="e">
        <f>VLOOKUP($C235,[3]Sheet1!$A$2:$L$209,12,0)</f>
        <v>#N/A</v>
      </c>
      <c r="Q235" s="18" t="e">
        <f>VLOOKUP($C235,[3]Sheet1!$A$2:$L$209,2,0)</f>
        <v>#N/A</v>
      </c>
      <c r="R235" s="18" t="e">
        <f>VLOOKUP($C235,[3]Sheet1!$A$2:$L$209,11,0)</f>
        <v>#N/A</v>
      </c>
    </row>
    <row r="236" spans="3:18" x14ac:dyDescent="0.3">
      <c r="C236" s="5" t="s">
        <v>1002</v>
      </c>
      <c r="D236" s="17" t="str">
        <f t="shared" si="3"/>
        <v>/</v>
      </c>
      <c r="H236" s="18" t="e">
        <f>VLOOKUP(C236,[4]Sheet1!$A$2:$L$251,12,0)</f>
        <v>#N/A</v>
      </c>
    </row>
    <row r="237" spans="3:18" x14ac:dyDescent="0.3">
      <c r="C237" s="5" t="s">
        <v>1003</v>
      </c>
      <c r="D237" s="17" t="str">
        <f t="shared" si="3"/>
        <v>/</v>
      </c>
      <c r="H237" s="18" t="e">
        <f>VLOOKUP(C237,[4]Sheet1!$A$2:$L$251,12,0)</f>
        <v>#N/A</v>
      </c>
    </row>
    <row r="238" spans="3:18" x14ac:dyDescent="0.3">
      <c r="C238" s="5" t="s">
        <v>1004</v>
      </c>
      <c r="D238" s="17" t="str">
        <f t="shared" si="3"/>
        <v>/</v>
      </c>
      <c r="H238" s="18" t="e">
        <f>VLOOKUP(C238,[4]Sheet1!$A$2:$L$251,12,0)</f>
        <v>#N/A</v>
      </c>
    </row>
    <row r="239" spans="3:18" x14ac:dyDescent="0.3">
      <c r="C239" s="5" t="s">
        <v>1005</v>
      </c>
      <c r="D239" s="17" t="str">
        <f t="shared" si="3"/>
        <v>/</v>
      </c>
      <c r="H239" s="18" t="e">
        <f>VLOOKUP(C239,[4]Sheet1!$A$2:$L$251,12,0)</f>
        <v>#N/A</v>
      </c>
    </row>
    <row r="240" spans="3:18" x14ac:dyDescent="0.3">
      <c r="C240" s="5" t="s">
        <v>1006</v>
      </c>
      <c r="D240" s="17" t="str">
        <f t="shared" si="3"/>
        <v>/</v>
      </c>
      <c r="H240" s="18" t="e">
        <f>VLOOKUP(C240,[4]Sheet1!$A$2:$L$251,12,0)</f>
        <v>#N/A</v>
      </c>
    </row>
    <row r="241" spans="3:8" x14ac:dyDescent="0.3">
      <c r="C241" s="5" t="s">
        <v>1007</v>
      </c>
      <c r="D241" s="17" t="str">
        <f t="shared" si="3"/>
        <v>/</v>
      </c>
      <c r="H241" s="18" t="e">
        <f>VLOOKUP(C241,[4]Sheet1!$A$2:$L$251,12,0)</f>
        <v>#N/A</v>
      </c>
    </row>
    <row r="242" spans="3:8" x14ac:dyDescent="0.3">
      <c r="C242" s="5" t="s">
        <v>1008</v>
      </c>
      <c r="D242" s="17" t="str">
        <f t="shared" si="3"/>
        <v>/</v>
      </c>
      <c r="H242" s="18" t="e">
        <f>VLOOKUP(C242,[4]Sheet1!$A$2:$L$251,12,0)</f>
        <v>#N/A</v>
      </c>
    </row>
    <row r="243" spans="3:8" x14ac:dyDescent="0.3">
      <c r="C243" s="5" t="s">
        <v>1009</v>
      </c>
      <c r="D243" s="17" t="str">
        <f t="shared" si="3"/>
        <v>/</v>
      </c>
      <c r="H243" s="18" t="e">
        <f>VLOOKUP(C243,[4]Sheet1!$A$2:$L$251,12,0)</f>
        <v>#N/A</v>
      </c>
    </row>
    <row r="244" spans="3:8" x14ac:dyDescent="0.3">
      <c r="C244" s="5" t="s">
        <v>1010</v>
      </c>
      <c r="D244" s="17" t="str">
        <f t="shared" si="3"/>
        <v>/</v>
      </c>
      <c r="H244" s="18" t="e">
        <f>VLOOKUP(C244,[4]Sheet1!$A$2:$L$251,12,0)</f>
        <v>#N/A</v>
      </c>
    </row>
    <row r="245" spans="3:8" x14ac:dyDescent="0.3">
      <c r="C245" s="5" t="s">
        <v>1011</v>
      </c>
      <c r="D245" s="17" t="str">
        <f t="shared" si="3"/>
        <v>/</v>
      </c>
      <c r="H245" s="18" t="e">
        <f>VLOOKUP(C245,[4]Sheet1!$A$2:$L$251,12,0)</f>
        <v>#N/A</v>
      </c>
    </row>
    <row r="246" spans="3:8" x14ac:dyDescent="0.3">
      <c r="C246" s="5" t="s">
        <v>1012</v>
      </c>
      <c r="D246" s="17" t="str">
        <f t="shared" si="3"/>
        <v>/</v>
      </c>
      <c r="H246" s="18" t="e">
        <f>VLOOKUP(C246,[4]Sheet1!$A$2:$L$251,12,0)</f>
        <v>#N/A</v>
      </c>
    </row>
    <row r="247" spans="3:8" x14ac:dyDescent="0.3">
      <c r="C247" s="5" t="s">
        <v>1013</v>
      </c>
      <c r="D247" s="17" t="str">
        <f t="shared" si="3"/>
        <v>/</v>
      </c>
      <c r="H247" s="18" t="e">
        <f>VLOOKUP(C247,[4]Sheet1!$A$2:$L$251,12,0)</f>
        <v>#N/A</v>
      </c>
    </row>
    <row r="248" spans="3:8" x14ac:dyDescent="0.3">
      <c r="C248" s="5" t="s">
        <v>1014</v>
      </c>
      <c r="D248" s="17" t="str">
        <f t="shared" si="3"/>
        <v>/</v>
      </c>
      <c r="H248" s="18" t="e">
        <f>VLOOKUP(C248,[4]Sheet1!$A$2:$L$251,12,0)</f>
        <v>#N/A</v>
      </c>
    </row>
    <row r="249" spans="3:8" x14ac:dyDescent="0.3">
      <c r="C249" s="5" t="s">
        <v>1015</v>
      </c>
      <c r="D249" s="17" t="str">
        <f t="shared" si="3"/>
        <v>/</v>
      </c>
      <c r="H249" s="18" t="e">
        <f>VLOOKUP(C249,[4]Sheet1!$A$2:$L$251,12,0)</f>
        <v>#N/A</v>
      </c>
    </row>
    <row r="250" spans="3:8" x14ac:dyDescent="0.3">
      <c r="C250" s="5" t="s">
        <v>1016</v>
      </c>
      <c r="D250" s="17" t="str">
        <f t="shared" si="3"/>
        <v>/</v>
      </c>
      <c r="H250" s="18" t="e">
        <f>VLOOKUP(C250,[4]Sheet1!$A$2:$L$251,12,0)</f>
        <v>#N/A</v>
      </c>
    </row>
    <row r="251" spans="3:8" x14ac:dyDescent="0.3">
      <c r="C251" s="5" t="s">
        <v>1017</v>
      </c>
      <c r="D251" s="17" t="str">
        <f t="shared" si="3"/>
        <v>/</v>
      </c>
      <c r="H251" s="18" t="e">
        <f>VLOOKUP(C251,[4]Sheet1!$A$2:$L$251,12,0)</f>
        <v>#N/A</v>
      </c>
    </row>
    <row r="252" spans="3:8" x14ac:dyDescent="0.3">
      <c r="C252" s="5" t="s">
        <v>1018</v>
      </c>
      <c r="D252" s="17" t="str">
        <f t="shared" si="3"/>
        <v>/</v>
      </c>
      <c r="H252" s="18" t="e">
        <f>VLOOKUP(C252,[4]Sheet1!$A$2:$L$251,12,0)</f>
        <v>#N/A</v>
      </c>
    </row>
    <row r="253" spans="3:8" x14ac:dyDescent="0.3">
      <c r="C253" s="5" t="s">
        <v>1019</v>
      </c>
      <c r="D253" s="17" t="str">
        <f t="shared" si="3"/>
        <v>/</v>
      </c>
      <c r="H253" s="18" t="e">
        <f>VLOOKUP(C253,[4]Sheet1!$A$2:$L$251,12,0)</f>
        <v>#N/A</v>
      </c>
    </row>
    <row r="254" spans="3:8" x14ac:dyDescent="0.3">
      <c r="C254" s="5" t="s">
        <v>1020</v>
      </c>
      <c r="D254" s="17" t="str">
        <f t="shared" si="3"/>
        <v>/</v>
      </c>
      <c r="H254" s="18" t="e">
        <f>VLOOKUP(C254,[4]Sheet1!$A$2:$L$251,12,0)</f>
        <v>#N/A</v>
      </c>
    </row>
    <row r="255" spans="3:8" x14ac:dyDescent="0.3">
      <c r="C255" s="5" t="s">
        <v>1021</v>
      </c>
      <c r="D255" s="17" t="str">
        <f t="shared" si="3"/>
        <v>/</v>
      </c>
      <c r="H255" s="18" t="e">
        <f>VLOOKUP(C255,[4]Sheet1!$A$2:$L$251,12,0)</f>
        <v>#N/A</v>
      </c>
    </row>
    <row r="256" spans="3:8" x14ac:dyDescent="0.3">
      <c r="C256" s="5" t="s">
        <v>1022</v>
      </c>
      <c r="D256" s="17" t="str">
        <f t="shared" si="3"/>
        <v>/</v>
      </c>
      <c r="H256" s="18" t="e">
        <f>VLOOKUP(C256,[4]Sheet1!$A$2:$L$251,12,0)</f>
        <v>#N/A</v>
      </c>
    </row>
    <row r="257" spans="3:8" x14ac:dyDescent="0.3">
      <c r="C257" s="5" t="s">
        <v>1023</v>
      </c>
      <c r="D257" s="17" t="str">
        <f t="shared" si="3"/>
        <v>/</v>
      </c>
      <c r="H257" s="18" t="e">
        <f>VLOOKUP(C257,[4]Sheet1!$A$2:$L$251,12,0)</f>
        <v>#N/A</v>
      </c>
    </row>
    <row r="258" spans="3:8" x14ac:dyDescent="0.3">
      <c r="C258" s="5" t="s">
        <v>1024</v>
      </c>
      <c r="D258" s="17" t="str">
        <f t="shared" ref="D258:D321" si="4">A258&amp;"/"&amp;B258</f>
        <v>/</v>
      </c>
      <c r="H258" s="18" t="e">
        <f>VLOOKUP(C258,[4]Sheet1!$A$2:$L$251,12,0)</f>
        <v>#N/A</v>
      </c>
    </row>
    <row r="259" spans="3:8" x14ac:dyDescent="0.3">
      <c r="C259" s="5" t="s">
        <v>1025</v>
      </c>
      <c r="D259" s="17" t="str">
        <f t="shared" si="4"/>
        <v>/</v>
      </c>
      <c r="H259" s="18" t="e">
        <f>VLOOKUP(C259,[4]Sheet1!$A$2:$L$251,12,0)</f>
        <v>#N/A</v>
      </c>
    </row>
    <row r="260" spans="3:8" x14ac:dyDescent="0.3">
      <c r="C260" s="5" t="s">
        <v>1026</v>
      </c>
      <c r="D260" s="17" t="str">
        <f t="shared" si="4"/>
        <v>/</v>
      </c>
      <c r="H260" s="18" t="e">
        <f>VLOOKUP(C260,[4]Sheet1!$A$2:$L$251,12,0)</f>
        <v>#N/A</v>
      </c>
    </row>
    <row r="261" spans="3:8" x14ac:dyDescent="0.3">
      <c r="C261" s="5" t="s">
        <v>1027</v>
      </c>
      <c r="D261" s="17" t="str">
        <f t="shared" si="4"/>
        <v>/</v>
      </c>
      <c r="H261" s="18" t="e">
        <f>VLOOKUP(C261,[4]Sheet1!$A$2:$L$251,12,0)</f>
        <v>#N/A</v>
      </c>
    </row>
    <row r="262" spans="3:8" x14ac:dyDescent="0.3">
      <c r="C262" s="5" t="s">
        <v>1028</v>
      </c>
      <c r="D262" s="17" t="str">
        <f t="shared" si="4"/>
        <v>/</v>
      </c>
      <c r="H262" s="18" t="e">
        <f>VLOOKUP(C262,[4]Sheet1!$A$2:$L$251,12,0)</f>
        <v>#N/A</v>
      </c>
    </row>
    <row r="263" spans="3:8" x14ac:dyDescent="0.3">
      <c r="C263" s="5" t="s">
        <v>1029</v>
      </c>
      <c r="D263" s="17" t="str">
        <f t="shared" si="4"/>
        <v>/</v>
      </c>
      <c r="H263" s="18" t="e">
        <f>VLOOKUP(C263,[4]Sheet1!$A$2:$L$251,12,0)</f>
        <v>#N/A</v>
      </c>
    </row>
    <row r="264" spans="3:8" x14ac:dyDescent="0.3">
      <c r="C264" s="5" t="s">
        <v>1030</v>
      </c>
      <c r="D264" s="17" t="str">
        <f t="shared" si="4"/>
        <v>/</v>
      </c>
      <c r="H264" s="18" t="e">
        <f>VLOOKUP(C264,[4]Sheet1!$A$2:$L$251,12,0)</f>
        <v>#N/A</v>
      </c>
    </row>
    <row r="265" spans="3:8" x14ac:dyDescent="0.3">
      <c r="C265" s="5" t="s">
        <v>1031</v>
      </c>
      <c r="D265" s="17" t="str">
        <f t="shared" si="4"/>
        <v>/</v>
      </c>
      <c r="H265" s="18" t="e">
        <f>VLOOKUP(C265,[4]Sheet1!$A$2:$L$251,12,0)</f>
        <v>#N/A</v>
      </c>
    </row>
    <row r="266" spans="3:8" x14ac:dyDescent="0.3">
      <c r="C266" s="5" t="s">
        <v>1032</v>
      </c>
      <c r="D266" s="17" t="str">
        <f t="shared" si="4"/>
        <v>/</v>
      </c>
      <c r="H266" s="18" t="e">
        <f>VLOOKUP(C266,[4]Sheet1!$A$2:$L$251,12,0)</f>
        <v>#N/A</v>
      </c>
    </row>
    <row r="267" spans="3:8" x14ac:dyDescent="0.3">
      <c r="C267" s="5" t="s">
        <v>1033</v>
      </c>
      <c r="D267" s="17" t="str">
        <f t="shared" si="4"/>
        <v>/</v>
      </c>
      <c r="H267" s="18" t="e">
        <f>VLOOKUP(C267,[4]Sheet1!$A$2:$L$251,12,0)</f>
        <v>#N/A</v>
      </c>
    </row>
    <row r="268" spans="3:8" x14ac:dyDescent="0.3">
      <c r="C268" s="5" t="s">
        <v>1034</v>
      </c>
      <c r="D268" s="17" t="str">
        <f t="shared" si="4"/>
        <v>/</v>
      </c>
      <c r="H268" s="18" t="e">
        <f>VLOOKUP(C268,[4]Sheet1!$A$2:$L$251,12,0)</f>
        <v>#N/A</v>
      </c>
    </row>
    <row r="269" spans="3:8" x14ac:dyDescent="0.3">
      <c r="C269" s="5" t="s">
        <v>1035</v>
      </c>
      <c r="D269" s="17" t="str">
        <f t="shared" si="4"/>
        <v>/</v>
      </c>
      <c r="H269" s="18" t="e">
        <f>VLOOKUP(C269,[4]Sheet1!$A$2:$L$251,12,0)</f>
        <v>#N/A</v>
      </c>
    </row>
    <row r="270" spans="3:8" x14ac:dyDescent="0.3">
      <c r="C270" s="5" t="s">
        <v>1036</v>
      </c>
      <c r="D270" s="17" t="str">
        <f t="shared" si="4"/>
        <v>/</v>
      </c>
      <c r="H270" s="18" t="e">
        <f>VLOOKUP(C270,[4]Sheet1!$A$2:$L$251,12,0)</f>
        <v>#N/A</v>
      </c>
    </row>
    <row r="271" spans="3:8" x14ac:dyDescent="0.3">
      <c r="C271" s="5" t="s">
        <v>1037</v>
      </c>
      <c r="D271" s="17" t="str">
        <f t="shared" si="4"/>
        <v>/</v>
      </c>
      <c r="H271" s="18" t="e">
        <f>VLOOKUP(C271,[4]Sheet1!$A$2:$L$251,12,0)</f>
        <v>#N/A</v>
      </c>
    </row>
    <row r="272" spans="3:8" x14ac:dyDescent="0.3">
      <c r="C272" s="5" t="s">
        <v>1038</v>
      </c>
      <c r="D272" s="17" t="str">
        <f t="shared" si="4"/>
        <v>/</v>
      </c>
      <c r="H272" s="18" t="e">
        <f>VLOOKUP(C272,[4]Sheet1!$A$2:$L$251,12,0)</f>
        <v>#N/A</v>
      </c>
    </row>
    <row r="273" spans="3:8" x14ac:dyDescent="0.3">
      <c r="C273" s="5" t="s">
        <v>1039</v>
      </c>
      <c r="D273" s="17" t="str">
        <f t="shared" si="4"/>
        <v>/</v>
      </c>
      <c r="H273" s="18" t="e">
        <f>VLOOKUP(C273,[4]Sheet1!$A$2:$L$251,12,0)</f>
        <v>#N/A</v>
      </c>
    </row>
    <row r="274" spans="3:8" x14ac:dyDescent="0.3">
      <c r="C274" s="5" t="s">
        <v>1040</v>
      </c>
      <c r="D274" s="17" t="str">
        <f t="shared" si="4"/>
        <v>/</v>
      </c>
      <c r="H274" s="18" t="e">
        <f>VLOOKUP(C274,[4]Sheet1!$A$2:$L$251,12,0)</f>
        <v>#N/A</v>
      </c>
    </row>
    <row r="275" spans="3:8" x14ac:dyDescent="0.3">
      <c r="C275" s="5" t="s">
        <v>1041</v>
      </c>
      <c r="D275" s="17" t="str">
        <f t="shared" si="4"/>
        <v>/</v>
      </c>
      <c r="H275" s="18" t="e">
        <f>VLOOKUP(C275,[4]Sheet1!$A$2:$L$251,12,0)</f>
        <v>#N/A</v>
      </c>
    </row>
    <row r="276" spans="3:8" x14ac:dyDescent="0.3">
      <c r="C276" s="5" t="s">
        <v>1042</v>
      </c>
      <c r="D276" s="17" t="str">
        <f t="shared" si="4"/>
        <v>/</v>
      </c>
      <c r="H276" s="18" t="e">
        <f>VLOOKUP(C276,[4]Sheet1!$A$2:$L$251,12,0)</f>
        <v>#N/A</v>
      </c>
    </row>
    <row r="277" spans="3:8" x14ac:dyDescent="0.3">
      <c r="C277" s="5" t="s">
        <v>1043</v>
      </c>
      <c r="D277" s="17" t="str">
        <f t="shared" si="4"/>
        <v>/</v>
      </c>
      <c r="H277" s="18" t="e">
        <f>VLOOKUP(C277,[4]Sheet1!$A$2:$L$251,12,0)</f>
        <v>#N/A</v>
      </c>
    </row>
    <row r="278" spans="3:8" x14ac:dyDescent="0.3">
      <c r="C278" s="5" t="s">
        <v>1044</v>
      </c>
      <c r="D278" s="17" t="str">
        <f t="shared" si="4"/>
        <v>/</v>
      </c>
      <c r="H278" s="18" t="e">
        <f>VLOOKUP(C278,[4]Sheet1!$A$2:$L$251,12,0)</f>
        <v>#N/A</v>
      </c>
    </row>
    <row r="279" spans="3:8" x14ac:dyDescent="0.3">
      <c r="C279" s="5" t="s">
        <v>1045</v>
      </c>
      <c r="D279" s="17" t="str">
        <f t="shared" si="4"/>
        <v>/</v>
      </c>
      <c r="H279" s="18" t="e">
        <f>VLOOKUP(C279,[4]Sheet1!$A$2:$L$251,12,0)</f>
        <v>#N/A</v>
      </c>
    </row>
    <row r="280" spans="3:8" x14ac:dyDescent="0.3">
      <c r="C280" s="5" t="s">
        <v>1046</v>
      </c>
      <c r="D280" s="17" t="str">
        <f t="shared" si="4"/>
        <v>/</v>
      </c>
      <c r="H280" s="18" t="e">
        <f>VLOOKUP(C280,[4]Sheet1!$A$2:$L$251,12,0)</f>
        <v>#N/A</v>
      </c>
    </row>
    <row r="281" spans="3:8" x14ac:dyDescent="0.3">
      <c r="C281" s="5" t="s">
        <v>1047</v>
      </c>
      <c r="D281" s="17" t="str">
        <f t="shared" si="4"/>
        <v>/</v>
      </c>
      <c r="H281" s="18" t="e">
        <f>VLOOKUP(C281,[4]Sheet1!$A$2:$L$251,12,0)</f>
        <v>#N/A</v>
      </c>
    </row>
    <row r="282" spans="3:8" x14ac:dyDescent="0.3">
      <c r="C282" s="5" t="s">
        <v>1048</v>
      </c>
      <c r="D282" s="17" t="str">
        <f t="shared" si="4"/>
        <v>/</v>
      </c>
      <c r="H282" s="18" t="e">
        <f>VLOOKUP(C282,[4]Sheet1!$A$2:$L$251,12,0)</f>
        <v>#N/A</v>
      </c>
    </row>
    <row r="283" spans="3:8" x14ac:dyDescent="0.3">
      <c r="C283" s="5" t="s">
        <v>1049</v>
      </c>
      <c r="D283" s="17" t="str">
        <f t="shared" si="4"/>
        <v>/</v>
      </c>
      <c r="H283" s="18" t="e">
        <f>VLOOKUP(C283,[4]Sheet1!$A$2:$L$251,12,0)</f>
        <v>#N/A</v>
      </c>
    </row>
    <row r="284" spans="3:8" x14ac:dyDescent="0.3">
      <c r="C284" s="5" t="s">
        <v>1050</v>
      </c>
      <c r="D284" s="17" t="str">
        <f t="shared" si="4"/>
        <v>/</v>
      </c>
      <c r="H284" s="18" t="e">
        <f>VLOOKUP(C284,[4]Sheet1!$A$2:$L$251,12,0)</f>
        <v>#N/A</v>
      </c>
    </row>
    <row r="285" spans="3:8" x14ac:dyDescent="0.3">
      <c r="C285" s="5" t="s">
        <v>1051</v>
      </c>
      <c r="D285" s="17" t="str">
        <f t="shared" si="4"/>
        <v>/</v>
      </c>
      <c r="H285" s="18" t="e">
        <f>VLOOKUP(C285,[4]Sheet1!$A$2:$L$251,12,0)</f>
        <v>#N/A</v>
      </c>
    </row>
    <row r="286" spans="3:8" x14ac:dyDescent="0.3">
      <c r="C286" s="5" t="s">
        <v>1052</v>
      </c>
      <c r="D286" s="17" t="str">
        <f t="shared" si="4"/>
        <v>/</v>
      </c>
      <c r="H286" s="18" t="e">
        <f>VLOOKUP(C286,[4]Sheet1!$A$2:$L$251,12,0)</f>
        <v>#N/A</v>
      </c>
    </row>
    <row r="287" spans="3:8" x14ac:dyDescent="0.3">
      <c r="C287" s="5" t="s">
        <v>1053</v>
      </c>
      <c r="D287" s="17" t="str">
        <f t="shared" si="4"/>
        <v>/</v>
      </c>
      <c r="H287" s="18" t="e">
        <f>VLOOKUP(C287,[4]Sheet1!$A$2:$L$251,12,0)</f>
        <v>#N/A</v>
      </c>
    </row>
    <row r="288" spans="3:8" x14ac:dyDescent="0.3">
      <c r="C288" s="5" t="s">
        <v>1054</v>
      </c>
      <c r="D288" s="17" t="str">
        <f t="shared" si="4"/>
        <v>/</v>
      </c>
      <c r="H288" s="18" t="e">
        <f>VLOOKUP(C288,[4]Sheet1!$A$2:$L$251,12,0)</f>
        <v>#N/A</v>
      </c>
    </row>
    <row r="289" spans="3:8" x14ac:dyDescent="0.3">
      <c r="C289" s="5" t="s">
        <v>1055</v>
      </c>
      <c r="D289" s="17" t="str">
        <f t="shared" si="4"/>
        <v>/</v>
      </c>
      <c r="H289" s="18" t="e">
        <f>VLOOKUP(C289,[4]Sheet1!$A$2:$L$251,12,0)</f>
        <v>#N/A</v>
      </c>
    </row>
    <row r="290" spans="3:8" x14ac:dyDescent="0.3">
      <c r="C290" s="5" t="s">
        <v>1056</v>
      </c>
      <c r="D290" s="17" t="str">
        <f t="shared" si="4"/>
        <v>/</v>
      </c>
      <c r="H290" s="18" t="e">
        <f>VLOOKUP(C290,[4]Sheet1!$A$2:$L$251,12,0)</f>
        <v>#N/A</v>
      </c>
    </row>
    <row r="291" spans="3:8" x14ac:dyDescent="0.3">
      <c r="C291" s="5" t="s">
        <v>1057</v>
      </c>
      <c r="D291" s="17" t="str">
        <f t="shared" si="4"/>
        <v>/</v>
      </c>
      <c r="H291" s="18" t="e">
        <f>VLOOKUP(C291,[4]Sheet1!$A$2:$L$251,12,0)</f>
        <v>#N/A</v>
      </c>
    </row>
    <row r="292" spans="3:8" x14ac:dyDescent="0.3">
      <c r="C292" s="5" t="s">
        <v>1058</v>
      </c>
      <c r="D292" s="17" t="str">
        <f t="shared" si="4"/>
        <v>/</v>
      </c>
      <c r="H292" s="18" t="e">
        <f>VLOOKUP(C292,[4]Sheet1!$A$2:$L$251,12,0)</f>
        <v>#N/A</v>
      </c>
    </row>
    <row r="293" spans="3:8" x14ac:dyDescent="0.3">
      <c r="C293" s="5" t="s">
        <v>1059</v>
      </c>
      <c r="D293" s="17" t="str">
        <f t="shared" si="4"/>
        <v>/</v>
      </c>
      <c r="H293" s="18" t="e">
        <f>VLOOKUP(C293,[4]Sheet1!$A$2:$L$251,12,0)</f>
        <v>#N/A</v>
      </c>
    </row>
    <row r="294" spans="3:8" x14ac:dyDescent="0.3">
      <c r="C294" s="5" t="s">
        <v>1060</v>
      </c>
      <c r="D294" s="17" t="str">
        <f t="shared" si="4"/>
        <v>/</v>
      </c>
      <c r="H294" s="18" t="e">
        <f>VLOOKUP(C294,[4]Sheet1!$A$2:$L$251,12,0)</f>
        <v>#N/A</v>
      </c>
    </row>
    <row r="295" spans="3:8" x14ac:dyDescent="0.3">
      <c r="C295" s="5" t="s">
        <v>1061</v>
      </c>
      <c r="D295" s="17" t="str">
        <f t="shared" si="4"/>
        <v>/</v>
      </c>
      <c r="H295" s="18" t="e">
        <f>VLOOKUP(C295,[4]Sheet1!$A$2:$L$251,12,0)</f>
        <v>#N/A</v>
      </c>
    </row>
    <row r="296" spans="3:8" x14ac:dyDescent="0.3">
      <c r="C296" s="5" t="s">
        <v>1062</v>
      </c>
      <c r="D296" s="17" t="str">
        <f t="shared" si="4"/>
        <v>/</v>
      </c>
      <c r="H296" s="18" t="e">
        <f>VLOOKUP(C296,[4]Sheet1!$A$2:$L$251,12,0)</f>
        <v>#N/A</v>
      </c>
    </row>
    <row r="297" spans="3:8" x14ac:dyDescent="0.3">
      <c r="C297" s="5" t="s">
        <v>1063</v>
      </c>
      <c r="D297" s="17" t="str">
        <f t="shared" si="4"/>
        <v>/</v>
      </c>
      <c r="H297" s="18" t="e">
        <f>VLOOKUP(C297,[4]Sheet1!$A$2:$L$251,12,0)</f>
        <v>#N/A</v>
      </c>
    </row>
    <row r="298" spans="3:8" x14ac:dyDescent="0.3">
      <c r="C298" s="5" t="s">
        <v>1064</v>
      </c>
      <c r="D298" s="17" t="str">
        <f t="shared" si="4"/>
        <v>/</v>
      </c>
      <c r="H298" s="18" t="e">
        <f>VLOOKUP(C298,[4]Sheet1!$A$2:$L$251,12,0)</f>
        <v>#N/A</v>
      </c>
    </row>
    <row r="299" spans="3:8" x14ac:dyDescent="0.3">
      <c r="C299" s="5" t="s">
        <v>1065</v>
      </c>
      <c r="D299" s="17" t="str">
        <f t="shared" si="4"/>
        <v>/</v>
      </c>
      <c r="H299" s="18" t="e">
        <f>VLOOKUP(C299,[4]Sheet1!$A$2:$L$251,12,0)</f>
        <v>#N/A</v>
      </c>
    </row>
    <row r="300" spans="3:8" x14ac:dyDescent="0.3">
      <c r="C300" s="5" t="s">
        <v>1066</v>
      </c>
      <c r="D300" s="17" t="str">
        <f t="shared" si="4"/>
        <v>/</v>
      </c>
      <c r="H300" s="18" t="e">
        <f>VLOOKUP(C300,[4]Sheet1!$A$2:$L$251,12,0)</f>
        <v>#N/A</v>
      </c>
    </row>
    <row r="301" spans="3:8" x14ac:dyDescent="0.3">
      <c r="C301" s="5" t="s">
        <v>1067</v>
      </c>
      <c r="D301" s="17" t="str">
        <f t="shared" si="4"/>
        <v>/</v>
      </c>
      <c r="H301" s="18" t="e">
        <f>VLOOKUP(C301,[4]Sheet1!$A$2:$L$251,12,0)</f>
        <v>#N/A</v>
      </c>
    </row>
    <row r="302" spans="3:8" x14ac:dyDescent="0.3">
      <c r="C302" s="5" t="s">
        <v>1068</v>
      </c>
      <c r="D302" s="17" t="str">
        <f t="shared" si="4"/>
        <v>/</v>
      </c>
      <c r="H302" s="18" t="e">
        <f>VLOOKUP(C302,[4]Sheet1!$A$2:$L$251,12,0)</f>
        <v>#N/A</v>
      </c>
    </row>
    <row r="303" spans="3:8" x14ac:dyDescent="0.3">
      <c r="C303" s="5" t="s">
        <v>1069</v>
      </c>
      <c r="D303" s="17" t="str">
        <f t="shared" si="4"/>
        <v>/</v>
      </c>
      <c r="H303" s="18" t="e">
        <f>VLOOKUP(C303,[4]Sheet1!$A$2:$L$251,12,0)</f>
        <v>#N/A</v>
      </c>
    </row>
    <row r="304" spans="3:8" x14ac:dyDescent="0.3">
      <c r="C304" s="5" t="s">
        <v>1070</v>
      </c>
      <c r="D304" s="17" t="str">
        <f t="shared" si="4"/>
        <v>/</v>
      </c>
      <c r="H304" s="18" t="e">
        <f>VLOOKUP(C304,[4]Sheet1!$A$2:$L$251,12,0)</f>
        <v>#N/A</v>
      </c>
    </row>
    <row r="305" spans="3:8" x14ac:dyDescent="0.3">
      <c r="C305" s="5" t="s">
        <v>1071</v>
      </c>
      <c r="D305" s="17" t="str">
        <f t="shared" si="4"/>
        <v>/</v>
      </c>
      <c r="H305" s="18" t="e">
        <f>VLOOKUP(C305,[4]Sheet1!$A$2:$L$251,12,0)</f>
        <v>#N/A</v>
      </c>
    </row>
    <row r="306" spans="3:8" x14ac:dyDescent="0.3">
      <c r="C306" s="5" t="s">
        <v>1072</v>
      </c>
      <c r="D306" s="17" t="str">
        <f t="shared" si="4"/>
        <v>/</v>
      </c>
      <c r="H306" s="18" t="e">
        <f>VLOOKUP(C306,[4]Sheet1!$A$2:$L$251,12,0)</f>
        <v>#N/A</v>
      </c>
    </row>
    <row r="307" spans="3:8" x14ac:dyDescent="0.3">
      <c r="C307" s="5" t="s">
        <v>1073</v>
      </c>
      <c r="D307" s="17" t="str">
        <f t="shared" si="4"/>
        <v>/</v>
      </c>
      <c r="H307" s="18" t="e">
        <f>VLOOKUP(C307,[4]Sheet1!$A$2:$L$251,12,0)</f>
        <v>#N/A</v>
      </c>
    </row>
    <row r="308" spans="3:8" x14ac:dyDescent="0.3">
      <c r="C308" s="5" t="s">
        <v>1074</v>
      </c>
      <c r="D308" s="17" t="str">
        <f t="shared" si="4"/>
        <v>/</v>
      </c>
      <c r="H308" s="18" t="e">
        <f>VLOOKUP(C308,[4]Sheet1!$A$2:$L$251,12,0)</f>
        <v>#N/A</v>
      </c>
    </row>
    <row r="309" spans="3:8" x14ac:dyDescent="0.3">
      <c r="C309" s="5" t="s">
        <v>1075</v>
      </c>
      <c r="D309" s="17" t="str">
        <f t="shared" si="4"/>
        <v>/</v>
      </c>
      <c r="H309" s="18" t="e">
        <f>VLOOKUP(C309,[4]Sheet1!$A$2:$L$251,12,0)</f>
        <v>#N/A</v>
      </c>
    </row>
    <row r="310" spans="3:8" x14ac:dyDescent="0.3">
      <c r="C310" s="5" t="s">
        <v>1076</v>
      </c>
      <c r="D310" s="17" t="str">
        <f t="shared" si="4"/>
        <v>/</v>
      </c>
      <c r="H310" s="18" t="e">
        <f>VLOOKUP(C310,[4]Sheet1!$A$2:$L$251,12,0)</f>
        <v>#N/A</v>
      </c>
    </row>
    <row r="311" spans="3:8" x14ac:dyDescent="0.3">
      <c r="C311" s="5" t="s">
        <v>1077</v>
      </c>
      <c r="D311" s="17" t="str">
        <f t="shared" si="4"/>
        <v>/</v>
      </c>
      <c r="H311" s="18" t="e">
        <f>VLOOKUP(C311,[4]Sheet1!$A$2:$L$251,12,0)</f>
        <v>#N/A</v>
      </c>
    </row>
    <row r="312" spans="3:8" x14ac:dyDescent="0.3">
      <c r="C312" s="5" t="s">
        <v>1078</v>
      </c>
      <c r="D312" s="17" t="str">
        <f t="shared" si="4"/>
        <v>/</v>
      </c>
      <c r="H312" s="18" t="e">
        <f>VLOOKUP(C312,[4]Sheet1!$A$2:$L$251,12,0)</f>
        <v>#N/A</v>
      </c>
    </row>
    <row r="313" spans="3:8" x14ac:dyDescent="0.3">
      <c r="C313" s="5" t="s">
        <v>1079</v>
      </c>
      <c r="D313" s="17" t="str">
        <f t="shared" si="4"/>
        <v>/</v>
      </c>
      <c r="H313" s="18" t="e">
        <f>VLOOKUP(C313,[4]Sheet1!$A$2:$L$251,12,0)</f>
        <v>#N/A</v>
      </c>
    </row>
    <row r="314" spans="3:8" x14ac:dyDescent="0.3">
      <c r="C314" s="5" t="s">
        <v>1080</v>
      </c>
      <c r="D314" s="17" t="str">
        <f t="shared" si="4"/>
        <v>/</v>
      </c>
      <c r="H314" s="18" t="e">
        <f>VLOOKUP(C314,[4]Sheet1!$A$2:$L$251,12,0)</f>
        <v>#N/A</v>
      </c>
    </row>
    <row r="315" spans="3:8" x14ac:dyDescent="0.3">
      <c r="C315" s="5" t="s">
        <v>1081</v>
      </c>
      <c r="D315" s="17" t="str">
        <f t="shared" si="4"/>
        <v>/</v>
      </c>
      <c r="H315" s="18" t="e">
        <f>VLOOKUP(C315,[4]Sheet1!$A$2:$L$251,12,0)</f>
        <v>#N/A</v>
      </c>
    </row>
    <row r="316" spans="3:8" x14ac:dyDescent="0.3">
      <c r="C316" s="5" t="s">
        <v>1082</v>
      </c>
      <c r="D316" s="17" t="str">
        <f t="shared" si="4"/>
        <v>/</v>
      </c>
      <c r="H316" s="18" t="e">
        <f>VLOOKUP(C316,[4]Sheet1!$A$2:$L$251,12,0)</f>
        <v>#N/A</v>
      </c>
    </row>
    <row r="317" spans="3:8" x14ac:dyDescent="0.3">
      <c r="C317" s="5" t="s">
        <v>1083</v>
      </c>
      <c r="D317" s="17" t="str">
        <f t="shared" si="4"/>
        <v>/</v>
      </c>
      <c r="H317" s="18" t="e">
        <f>VLOOKUP(C317,[4]Sheet1!$A$2:$L$251,12,0)</f>
        <v>#N/A</v>
      </c>
    </row>
    <row r="318" spans="3:8" x14ac:dyDescent="0.3">
      <c r="C318" s="5" t="s">
        <v>1084</v>
      </c>
      <c r="D318" s="17" t="str">
        <f t="shared" si="4"/>
        <v>/</v>
      </c>
      <c r="H318" s="18" t="e">
        <f>VLOOKUP(C318,[4]Sheet1!$A$2:$L$251,12,0)</f>
        <v>#N/A</v>
      </c>
    </row>
    <row r="319" spans="3:8" x14ac:dyDescent="0.3">
      <c r="C319" s="5" t="s">
        <v>1085</v>
      </c>
      <c r="D319" s="17" t="str">
        <f t="shared" si="4"/>
        <v>/</v>
      </c>
      <c r="H319" s="18" t="e">
        <f>VLOOKUP(C319,[4]Sheet1!$A$2:$L$251,12,0)</f>
        <v>#N/A</v>
      </c>
    </row>
    <row r="320" spans="3:8" x14ac:dyDescent="0.3">
      <c r="C320" s="5" t="s">
        <v>1086</v>
      </c>
      <c r="D320" s="17" t="str">
        <f t="shared" si="4"/>
        <v>/</v>
      </c>
      <c r="H320" s="18" t="e">
        <f>VLOOKUP(C320,[4]Sheet1!$A$2:$L$251,12,0)</f>
        <v>#N/A</v>
      </c>
    </row>
    <row r="321" spans="3:8" x14ac:dyDescent="0.3">
      <c r="C321" s="5" t="s">
        <v>1087</v>
      </c>
      <c r="D321" s="17" t="str">
        <f t="shared" si="4"/>
        <v>/</v>
      </c>
      <c r="H321" s="18" t="e">
        <f>VLOOKUP(C321,[4]Sheet1!$A$2:$L$251,12,0)</f>
        <v>#N/A</v>
      </c>
    </row>
    <row r="322" spans="3:8" x14ac:dyDescent="0.3">
      <c r="C322" s="5" t="s">
        <v>1088</v>
      </c>
      <c r="D322" s="17" t="str">
        <f t="shared" ref="D322:D385" si="5">A322&amp;"/"&amp;B322</f>
        <v>/</v>
      </c>
      <c r="H322" s="18" t="e">
        <f>VLOOKUP(C322,[4]Sheet1!$A$2:$L$251,12,0)</f>
        <v>#N/A</v>
      </c>
    </row>
    <row r="323" spans="3:8" x14ac:dyDescent="0.3">
      <c r="C323" s="5" t="s">
        <v>1089</v>
      </c>
      <c r="D323" s="17" t="str">
        <f t="shared" si="5"/>
        <v>/</v>
      </c>
      <c r="H323" s="18" t="e">
        <f>VLOOKUP(C323,[4]Sheet1!$A$2:$L$251,12,0)</f>
        <v>#N/A</v>
      </c>
    </row>
    <row r="324" spans="3:8" x14ac:dyDescent="0.3">
      <c r="C324" s="5" t="s">
        <v>1090</v>
      </c>
      <c r="D324" s="17" t="str">
        <f t="shared" si="5"/>
        <v>/</v>
      </c>
      <c r="H324" s="18" t="e">
        <f>VLOOKUP(C324,[4]Sheet1!$A$2:$L$251,12,0)</f>
        <v>#N/A</v>
      </c>
    </row>
    <row r="325" spans="3:8" x14ac:dyDescent="0.3">
      <c r="C325" s="5" t="s">
        <v>1091</v>
      </c>
      <c r="D325" s="17" t="str">
        <f t="shared" si="5"/>
        <v>/</v>
      </c>
      <c r="H325" s="18" t="e">
        <f>VLOOKUP(C325,[4]Sheet1!$A$2:$L$251,12,0)</f>
        <v>#N/A</v>
      </c>
    </row>
    <row r="326" spans="3:8" x14ac:dyDescent="0.3">
      <c r="C326" s="5" t="s">
        <v>1092</v>
      </c>
      <c r="D326" s="17" t="str">
        <f t="shared" si="5"/>
        <v>/</v>
      </c>
      <c r="H326" s="18" t="e">
        <f>VLOOKUP(C326,[4]Sheet1!$A$2:$L$251,12,0)</f>
        <v>#N/A</v>
      </c>
    </row>
    <row r="327" spans="3:8" x14ac:dyDescent="0.3">
      <c r="C327" s="5" t="s">
        <v>1093</v>
      </c>
      <c r="D327" s="17" t="str">
        <f t="shared" si="5"/>
        <v>/</v>
      </c>
      <c r="H327" s="18" t="e">
        <f>VLOOKUP(C327,[4]Sheet1!$A$2:$L$251,12,0)</f>
        <v>#N/A</v>
      </c>
    </row>
    <row r="328" spans="3:8" x14ac:dyDescent="0.3">
      <c r="C328" s="5" t="s">
        <v>1094</v>
      </c>
      <c r="D328" s="17" t="str">
        <f t="shared" si="5"/>
        <v>/</v>
      </c>
      <c r="H328" s="18" t="e">
        <f>VLOOKUP(C328,[4]Sheet1!$A$2:$L$251,12,0)</f>
        <v>#N/A</v>
      </c>
    </row>
    <row r="329" spans="3:8" x14ac:dyDescent="0.3">
      <c r="C329" s="5" t="s">
        <v>1095</v>
      </c>
      <c r="D329" s="17" t="str">
        <f t="shared" si="5"/>
        <v>/</v>
      </c>
      <c r="H329" s="18" t="e">
        <f>VLOOKUP(C329,[4]Sheet1!$A$2:$L$251,12,0)</f>
        <v>#N/A</v>
      </c>
    </row>
    <row r="330" spans="3:8" x14ac:dyDescent="0.3">
      <c r="C330" s="5" t="s">
        <v>1096</v>
      </c>
      <c r="D330" s="17" t="str">
        <f t="shared" si="5"/>
        <v>/</v>
      </c>
      <c r="H330" s="18" t="e">
        <f>VLOOKUP(C330,[4]Sheet1!$A$2:$L$251,12,0)</f>
        <v>#N/A</v>
      </c>
    </row>
    <row r="331" spans="3:8" x14ac:dyDescent="0.3">
      <c r="C331" s="5" t="s">
        <v>1097</v>
      </c>
      <c r="D331" s="17" t="str">
        <f t="shared" si="5"/>
        <v>/</v>
      </c>
      <c r="H331" s="18" t="e">
        <f>VLOOKUP(C331,[4]Sheet1!$A$2:$L$251,12,0)</f>
        <v>#N/A</v>
      </c>
    </row>
    <row r="332" spans="3:8" x14ac:dyDescent="0.3">
      <c r="C332" s="5" t="s">
        <v>1098</v>
      </c>
      <c r="D332" s="17" t="str">
        <f t="shared" si="5"/>
        <v>/</v>
      </c>
      <c r="H332" s="18" t="e">
        <f>VLOOKUP(C332,[4]Sheet1!$A$2:$L$251,12,0)</f>
        <v>#N/A</v>
      </c>
    </row>
    <row r="333" spans="3:8" x14ac:dyDescent="0.3">
      <c r="C333" s="5" t="s">
        <v>1099</v>
      </c>
      <c r="D333" s="17" t="str">
        <f t="shared" si="5"/>
        <v>/</v>
      </c>
      <c r="H333" s="18" t="e">
        <f>VLOOKUP(C333,[4]Sheet1!$A$2:$L$251,12,0)</f>
        <v>#N/A</v>
      </c>
    </row>
    <row r="334" spans="3:8" x14ac:dyDescent="0.3">
      <c r="C334" s="5" t="s">
        <v>1100</v>
      </c>
      <c r="D334" s="17" t="str">
        <f t="shared" si="5"/>
        <v>/</v>
      </c>
      <c r="H334" s="18" t="e">
        <f>VLOOKUP(C334,[4]Sheet1!$A$2:$L$251,12,0)</f>
        <v>#N/A</v>
      </c>
    </row>
    <row r="335" spans="3:8" x14ac:dyDescent="0.3">
      <c r="C335" s="5" t="s">
        <v>1101</v>
      </c>
      <c r="D335" s="17" t="str">
        <f t="shared" si="5"/>
        <v>/</v>
      </c>
      <c r="H335" s="18" t="e">
        <f>VLOOKUP(C335,[4]Sheet1!$A$2:$L$251,12,0)</f>
        <v>#N/A</v>
      </c>
    </row>
    <row r="336" spans="3:8" x14ac:dyDescent="0.3">
      <c r="C336" s="5" t="s">
        <v>1102</v>
      </c>
      <c r="D336" s="17" t="str">
        <f t="shared" si="5"/>
        <v>/</v>
      </c>
      <c r="H336" s="18" t="e">
        <f>VLOOKUP(C336,[4]Sheet1!$A$2:$L$251,12,0)</f>
        <v>#N/A</v>
      </c>
    </row>
    <row r="337" spans="3:8" x14ac:dyDescent="0.3">
      <c r="C337" s="5" t="s">
        <v>1103</v>
      </c>
      <c r="D337" s="17" t="str">
        <f t="shared" si="5"/>
        <v>/</v>
      </c>
      <c r="H337" s="18" t="e">
        <f>VLOOKUP(C337,[4]Sheet1!$A$2:$L$251,12,0)</f>
        <v>#N/A</v>
      </c>
    </row>
    <row r="338" spans="3:8" x14ac:dyDescent="0.3">
      <c r="C338" s="5" t="s">
        <v>1104</v>
      </c>
      <c r="D338" s="17" t="str">
        <f t="shared" si="5"/>
        <v>/</v>
      </c>
      <c r="H338" s="18" t="e">
        <f>VLOOKUP(C338,[4]Sheet1!$A$2:$L$251,12,0)</f>
        <v>#N/A</v>
      </c>
    </row>
    <row r="339" spans="3:8" x14ac:dyDescent="0.3">
      <c r="C339" s="5" t="s">
        <v>1105</v>
      </c>
      <c r="D339" s="17" t="str">
        <f t="shared" si="5"/>
        <v>/</v>
      </c>
      <c r="H339" s="18" t="e">
        <f>VLOOKUP(C339,[4]Sheet1!$A$2:$L$251,12,0)</f>
        <v>#N/A</v>
      </c>
    </row>
    <row r="340" spans="3:8" x14ac:dyDescent="0.3">
      <c r="C340" s="5" t="s">
        <v>1106</v>
      </c>
      <c r="D340" s="17" t="str">
        <f t="shared" si="5"/>
        <v>/</v>
      </c>
      <c r="H340" s="18" t="e">
        <f>VLOOKUP(C340,[4]Sheet1!$A$2:$L$251,12,0)</f>
        <v>#N/A</v>
      </c>
    </row>
    <row r="341" spans="3:8" x14ac:dyDescent="0.3">
      <c r="C341" s="5" t="s">
        <v>1107</v>
      </c>
      <c r="D341" s="17" t="str">
        <f t="shared" si="5"/>
        <v>/</v>
      </c>
      <c r="H341" s="18" t="e">
        <f>VLOOKUP(C341,[4]Sheet1!$A$2:$L$251,12,0)</f>
        <v>#N/A</v>
      </c>
    </row>
    <row r="342" spans="3:8" x14ac:dyDescent="0.3">
      <c r="C342" s="5" t="s">
        <v>1108</v>
      </c>
      <c r="D342" s="17" t="str">
        <f t="shared" si="5"/>
        <v>/</v>
      </c>
      <c r="H342" s="18" t="e">
        <f>VLOOKUP(C342,[4]Sheet1!$A$2:$L$251,12,0)</f>
        <v>#N/A</v>
      </c>
    </row>
    <row r="343" spans="3:8" x14ac:dyDescent="0.3">
      <c r="C343" s="5" t="s">
        <v>1109</v>
      </c>
      <c r="D343" s="17" t="str">
        <f t="shared" si="5"/>
        <v>/</v>
      </c>
      <c r="H343" s="18" t="e">
        <f>VLOOKUP(C343,[4]Sheet1!$A$2:$L$251,12,0)</f>
        <v>#N/A</v>
      </c>
    </row>
    <row r="344" spans="3:8" x14ac:dyDescent="0.3">
      <c r="C344" s="5" t="s">
        <v>1110</v>
      </c>
      <c r="D344" s="17" t="str">
        <f t="shared" si="5"/>
        <v>/</v>
      </c>
      <c r="H344" s="18" t="e">
        <f>VLOOKUP(C344,[4]Sheet1!$A$2:$L$251,12,0)</f>
        <v>#N/A</v>
      </c>
    </row>
    <row r="345" spans="3:8" x14ac:dyDescent="0.3">
      <c r="C345" s="5" t="s">
        <v>1111</v>
      </c>
      <c r="D345" s="17" t="str">
        <f t="shared" si="5"/>
        <v>/</v>
      </c>
      <c r="H345" s="18" t="e">
        <f>VLOOKUP(C345,[4]Sheet1!$A$2:$L$251,12,0)</f>
        <v>#N/A</v>
      </c>
    </row>
    <row r="346" spans="3:8" x14ac:dyDescent="0.3">
      <c r="C346" s="5" t="s">
        <v>1112</v>
      </c>
      <c r="D346" s="17" t="str">
        <f t="shared" si="5"/>
        <v>/</v>
      </c>
      <c r="H346" s="18" t="e">
        <f>VLOOKUP(C346,[4]Sheet1!$A$2:$L$251,12,0)</f>
        <v>#N/A</v>
      </c>
    </row>
    <row r="347" spans="3:8" x14ac:dyDescent="0.3">
      <c r="C347" s="5" t="s">
        <v>1113</v>
      </c>
      <c r="D347" s="17" t="str">
        <f t="shared" si="5"/>
        <v>/</v>
      </c>
      <c r="H347" s="18" t="e">
        <f>VLOOKUP(C347,[4]Sheet1!$A$2:$L$251,12,0)</f>
        <v>#N/A</v>
      </c>
    </row>
    <row r="348" spans="3:8" x14ac:dyDescent="0.3">
      <c r="C348" s="5" t="s">
        <v>1114</v>
      </c>
      <c r="D348" s="17" t="str">
        <f t="shared" si="5"/>
        <v>/</v>
      </c>
      <c r="H348" s="18" t="e">
        <f>VLOOKUP(C348,[4]Sheet1!$A$2:$L$251,12,0)</f>
        <v>#N/A</v>
      </c>
    </row>
    <row r="349" spans="3:8" x14ac:dyDescent="0.3">
      <c r="C349" s="5" t="s">
        <v>1115</v>
      </c>
      <c r="D349" s="17" t="str">
        <f t="shared" si="5"/>
        <v>/</v>
      </c>
      <c r="H349" s="18" t="e">
        <f>VLOOKUP(C349,[4]Sheet1!$A$2:$L$251,12,0)</f>
        <v>#N/A</v>
      </c>
    </row>
    <row r="350" spans="3:8" x14ac:dyDescent="0.3">
      <c r="C350" s="5" t="s">
        <v>1116</v>
      </c>
      <c r="D350" s="17" t="str">
        <f t="shared" si="5"/>
        <v>/</v>
      </c>
      <c r="H350" s="18" t="e">
        <f>VLOOKUP(C350,[4]Sheet1!$A$2:$L$251,12,0)</f>
        <v>#N/A</v>
      </c>
    </row>
    <row r="351" spans="3:8" x14ac:dyDescent="0.3">
      <c r="C351" s="5" t="s">
        <v>1117</v>
      </c>
      <c r="D351" s="17" t="str">
        <f t="shared" si="5"/>
        <v>/</v>
      </c>
      <c r="H351" s="18" t="e">
        <f>VLOOKUP(C351,[4]Sheet1!$A$2:$L$251,12,0)</f>
        <v>#N/A</v>
      </c>
    </row>
    <row r="352" spans="3:8" x14ac:dyDescent="0.3">
      <c r="C352" s="5" t="s">
        <v>1118</v>
      </c>
      <c r="D352" s="17" t="str">
        <f t="shared" si="5"/>
        <v>/</v>
      </c>
      <c r="H352" s="18" t="e">
        <f>VLOOKUP(C352,[4]Sheet1!$A$2:$L$251,12,0)</f>
        <v>#N/A</v>
      </c>
    </row>
    <row r="353" spans="3:8" x14ac:dyDescent="0.3">
      <c r="C353" s="5" t="s">
        <v>1119</v>
      </c>
      <c r="D353" s="17" t="str">
        <f t="shared" si="5"/>
        <v>/</v>
      </c>
      <c r="H353" s="18" t="e">
        <f>VLOOKUP(C353,[4]Sheet1!$A$2:$L$251,12,0)</f>
        <v>#N/A</v>
      </c>
    </row>
    <row r="354" spans="3:8" x14ac:dyDescent="0.3">
      <c r="C354" s="5" t="s">
        <v>1120</v>
      </c>
      <c r="D354" s="17" t="str">
        <f t="shared" si="5"/>
        <v>/</v>
      </c>
      <c r="H354" s="18" t="e">
        <f>VLOOKUP(C354,[4]Sheet1!$A$2:$L$251,12,0)</f>
        <v>#N/A</v>
      </c>
    </row>
    <row r="355" spans="3:8" x14ac:dyDescent="0.3">
      <c r="C355" s="5" t="s">
        <v>1121</v>
      </c>
      <c r="D355" s="17" t="str">
        <f t="shared" si="5"/>
        <v>/</v>
      </c>
      <c r="H355" s="18" t="e">
        <f>VLOOKUP(C355,[4]Sheet1!$A$2:$L$251,12,0)</f>
        <v>#N/A</v>
      </c>
    </row>
    <row r="356" spans="3:8" x14ac:dyDescent="0.3">
      <c r="C356" s="5" t="s">
        <v>1122</v>
      </c>
      <c r="D356" s="17" t="str">
        <f t="shared" si="5"/>
        <v>/</v>
      </c>
      <c r="H356" s="18" t="e">
        <f>VLOOKUP(C356,[4]Sheet1!$A$2:$L$251,12,0)</f>
        <v>#N/A</v>
      </c>
    </row>
    <row r="357" spans="3:8" x14ac:dyDescent="0.3">
      <c r="C357" s="5" t="s">
        <v>1123</v>
      </c>
      <c r="D357" s="17" t="str">
        <f t="shared" si="5"/>
        <v>/</v>
      </c>
      <c r="H357" s="18" t="e">
        <f>VLOOKUP(C357,[4]Sheet1!$A$2:$L$251,12,0)</f>
        <v>#N/A</v>
      </c>
    </row>
    <row r="358" spans="3:8" x14ac:dyDescent="0.3">
      <c r="C358" s="5" t="s">
        <v>1124</v>
      </c>
      <c r="D358" s="17" t="str">
        <f t="shared" si="5"/>
        <v>/</v>
      </c>
      <c r="H358" s="18" t="e">
        <f>VLOOKUP(C358,[4]Sheet1!$A$2:$L$251,12,0)</f>
        <v>#N/A</v>
      </c>
    </row>
    <row r="359" spans="3:8" x14ac:dyDescent="0.3">
      <c r="C359" s="5" t="s">
        <v>1125</v>
      </c>
      <c r="D359" s="17" t="str">
        <f t="shared" si="5"/>
        <v>/</v>
      </c>
      <c r="H359" s="18" t="e">
        <f>VLOOKUP(C359,[4]Sheet1!$A$2:$L$251,12,0)</f>
        <v>#N/A</v>
      </c>
    </row>
    <row r="360" spans="3:8" x14ac:dyDescent="0.3">
      <c r="C360" s="5" t="s">
        <v>1126</v>
      </c>
      <c r="D360" s="17" t="str">
        <f t="shared" si="5"/>
        <v>/</v>
      </c>
      <c r="H360" s="18" t="e">
        <f>VLOOKUP(C360,[4]Sheet1!$A$2:$L$251,12,0)</f>
        <v>#N/A</v>
      </c>
    </row>
    <row r="361" spans="3:8" x14ac:dyDescent="0.3">
      <c r="C361" s="5" t="s">
        <v>1127</v>
      </c>
      <c r="D361" s="17" t="str">
        <f t="shared" si="5"/>
        <v>/</v>
      </c>
      <c r="H361" s="18" t="e">
        <f>VLOOKUP(C361,[4]Sheet1!$A$2:$L$251,12,0)</f>
        <v>#N/A</v>
      </c>
    </row>
    <row r="362" spans="3:8" x14ac:dyDescent="0.3">
      <c r="C362" s="5" t="s">
        <v>1128</v>
      </c>
      <c r="D362" s="17" t="str">
        <f t="shared" si="5"/>
        <v>/</v>
      </c>
      <c r="H362" s="18" t="e">
        <f>VLOOKUP(C362,[4]Sheet1!$A$2:$L$251,12,0)</f>
        <v>#N/A</v>
      </c>
    </row>
    <row r="363" spans="3:8" x14ac:dyDescent="0.3">
      <c r="C363" s="5" t="s">
        <v>1129</v>
      </c>
      <c r="D363" s="17" t="str">
        <f t="shared" si="5"/>
        <v>/</v>
      </c>
      <c r="H363" s="18" t="e">
        <f>VLOOKUP(C363,[4]Sheet1!$A$2:$L$251,12,0)</f>
        <v>#N/A</v>
      </c>
    </row>
    <row r="364" spans="3:8" x14ac:dyDescent="0.3">
      <c r="C364" s="5" t="s">
        <v>1130</v>
      </c>
      <c r="D364" s="17" t="str">
        <f t="shared" si="5"/>
        <v>/</v>
      </c>
      <c r="H364" s="18" t="e">
        <f>VLOOKUP(C364,[4]Sheet1!$A$2:$L$251,12,0)</f>
        <v>#N/A</v>
      </c>
    </row>
    <row r="365" spans="3:8" x14ac:dyDescent="0.3">
      <c r="C365" s="5" t="s">
        <v>1131</v>
      </c>
      <c r="D365" s="17" t="str">
        <f t="shared" si="5"/>
        <v>/</v>
      </c>
      <c r="H365" s="18" t="e">
        <f>VLOOKUP(C365,[4]Sheet1!$A$2:$L$251,12,0)</f>
        <v>#N/A</v>
      </c>
    </row>
    <row r="366" spans="3:8" x14ac:dyDescent="0.3">
      <c r="C366" s="5" t="s">
        <v>1132</v>
      </c>
      <c r="D366" s="17" t="str">
        <f t="shared" si="5"/>
        <v>/</v>
      </c>
      <c r="H366" s="18" t="e">
        <f>VLOOKUP(C366,[4]Sheet1!$A$2:$L$251,12,0)</f>
        <v>#N/A</v>
      </c>
    </row>
    <row r="367" spans="3:8" x14ac:dyDescent="0.3">
      <c r="C367" s="5" t="s">
        <v>1133</v>
      </c>
      <c r="D367" s="17" t="str">
        <f t="shared" si="5"/>
        <v>/</v>
      </c>
      <c r="H367" s="18" t="e">
        <f>VLOOKUP(C367,[4]Sheet1!$A$2:$L$251,12,0)</f>
        <v>#N/A</v>
      </c>
    </row>
    <row r="368" spans="3:8" x14ac:dyDescent="0.3">
      <c r="C368" s="5" t="s">
        <v>1134</v>
      </c>
      <c r="D368" s="17" t="str">
        <f t="shared" si="5"/>
        <v>/</v>
      </c>
      <c r="H368" s="18" t="e">
        <f>VLOOKUP(C368,[4]Sheet1!$A$2:$L$251,12,0)</f>
        <v>#N/A</v>
      </c>
    </row>
    <row r="369" spans="3:8" x14ac:dyDescent="0.3">
      <c r="C369" s="5" t="s">
        <v>1135</v>
      </c>
      <c r="D369" s="17" t="str">
        <f t="shared" si="5"/>
        <v>/</v>
      </c>
      <c r="H369" s="18" t="e">
        <f>VLOOKUP(C369,[4]Sheet1!$A$2:$L$251,12,0)</f>
        <v>#N/A</v>
      </c>
    </row>
    <row r="370" spans="3:8" x14ac:dyDescent="0.3">
      <c r="C370" s="5" t="s">
        <v>1136</v>
      </c>
      <c r="D370" s="17" t="str">
        <f t="shared" si="5"/>
        <v>/</v>
      </c>
      <c r="H370" s="18" t="e">
        <f>VLOOKUP(C370,[4]Sheet1!$A$2:$L$251,12,0)</f>
        <v>#N/A</v>
      </c>
    </row>
    <row r="371" spans="3:8" x14ac:dyDescent="0.3">
      <c r="C371" s="5" t="s">
        <v>1137</v>
      </c>
      <c r="D371" s="17" t="str">
        <f t="shared" si="5"/>
        <v>/</v>
      </c>
      <c r="H371" s="18" t="e">
        <f>VLOOKUP(C371,[4]Sheet1!$A$2:$L$251,12,0)</f>
        <v>#N/A</v>
      </c>
    </row>
    <row r="372" spans="3:8" x14ac:dyDescent="0.3">
      <c r="C372" s="5" t="s">
        <v>1138</v>
      </c>
      <c r="D372" s="17" t="str">
        <f t="shared" si="5"/>
        <v>/</v>
      </c>
      <c r="H372" s="18" t="e">
        <f>VLOOKUP(C372,[4]Sheet1!$A$2:$L$251,12,0)</f>
        <v>#N/A</v>
      </c>
    </row>
    <row r="373" spans="3:8" x14ac:dyDescent="0.3">
      <c r="C373" s="5" t="s">
        <v>1139</v>
      </c>
      <c r="D373" s="17" t="str">
        <f t="shared" si="5"/>
        <v>/</v>
      </c>
      <c r="H373" s="18" t="e">
        <f>VLOOKUP(C373,[4]Sheet1!$A$2:$L$251,12,0)</f>
        <v>#N/A</v>
      </c>
    </row>
    <row r="374" spans="3:8" x14ac:dyDescent="0.3">
      <c r="C374" s="5" t="s">
        <v>1140</v>
      </c>
      <c r="D374" s="17" t="str">
        <f t="shared" si="5"/>
        <v>/</v>
      </c>
      <c r="H374" s="18" t="e">
        <f>VLOOKUP(C374,[4]Sheet1!$A$2:$L$251,12,0)</f>
        <v>#N/A</v>
      </c>
    </row>
    <row r="375" spans="3:8" x14ac:dyDescent="0.3">
      <c r="C375" s="5" t="s">
        <v>1141</v>
      </c>
      <c r="D375" s="17" t="str">
        <f t="shared" si="5"/>
        <v>/</v>
      </c>
      <c r="H375" s="18" t="e">
        <f>VLOOKUP(C375,[4]Sheet1!$A$2:$L$251,12,0)</f>
        <v>#N/A</v>
      </c>
    </row>
    <row r="376" spans="3:8" x14ac:dyDescent="0.3">
      <c r="C376" s="5" t="s">
        <v>1142</v>
      </c>
      <c r="D376" s="17" t="str">
        <f t="shared" si="5"/>
        <v>/</v>
      </c>
      <c r="H376" s="18" t="e">
        <f>VLOOKUP(C376,[4]Sheet1!$A$2:$L$251,12,0)</f>
        <v>#N/A</v>
      </c>
    </row>
    <row r="377" spans="3:8" x14ac:dyDescent="0.3">
      <c r="C377" s="5" t="s">
        <v>1143</v>
      </c>
      <c r="D377" s="17" t="str">
        <f t="shared" si="5"/>
        <v>/</v>
      </c>
      <c r="H377" s="18" t="e">
        <f>VLOOKUP(C377,[4]Sheet1!$A$2:$L$251,12,0)</f>
        <v>#N/A</v>
      </c>
    </row>
    <row r="378" spans="3:8" x14ac:dyDescent="0.3">
      <c r="C378" s="5" t="s">
        <v>1144</v>
      </c>
      <c r="D378" s="17" t="str">
        <f t="shared" si="5"/>
        <v>/</v>
      </c>
      <c r="H378" s="18" t="e">
        <f>VLOOKUP(C378,[4]Sheet1!$A$2:$L$251,12,0)</f>
        <v>#N/A</v>
      </c>
    </row>
    <row r="379" spans="3:8" x14ac:dyDescent="0.3">
      <c r="C379" s="5" t="s">
        <v>1145</v>
      </c>
      <c r="D379" s="17" t="str">
        <f t="shared" si="5"/>
        <v>/</v>
      </c>
      <c r="H379" s="18" t="e">
        <f>VLOOKUP(C379,[4]Sheet1!$A$2:$L$251,12,0)</f>
        <v>#N/A</v>
      </c>
    </row>
    <row r="380" spans="3:8" x14ac:dyDescent="0.3">
      <c r="C380" s="5" t="s">
        <v>1146</v>
      </c>
      <c r="D380" s="17" t="str">
        <f t="shared" si="5"/>
        <v>/</v>
      </c>
      <c r="H380" s="18" t="e">
        <f>VLOOKUP(C380,[4]Sheet1!$A$2:$L$251,12,0)</f>
        <v>#N/A</v>
      </c>
    </row>
    <row r="381" spans="3:8" x14ac:dyDescent="0.3">
      <c r="C381" s="5" t="s">
        <v>1147</v>
      </c>
      <c r="D381" s="17" t="str">
        <f t="shared" si="5"/>
        <v>/</v>
      </c>
      <c r="H381" s="18" t="e">
        <f>VLOOKUP(C381,[4]Sheet1!$A$2:$L$251,12,0)</f>
        <v>#N/A</v>
      </c>
    </row>
    <row r="382" spans="3:8" x14ac:dyDescent="0.3">
      <c r="C382" s="5" t="s">
        <v>1148</v>
      </c>
      <c r="D382" s="17" t="str">
        <f t="shared" si="5"/>
        <v>/</v>
      </c>
      <c r="H382" s="18" t="e">
        <f>VLOOKUP(C382,[4]Sheet1!$A$2:$L$251,12,0)</f>
        <v>#N/A</v>
      </c>
    </row>
    <row r="383" spans="3:8" x14ac:dyDescent="0.3">
      <c r="C383" s="5" t="s">
        <v>1149</v>
      </c>
      <c r="D383" s="17" t="str">
        <f t="shared" si="5"/>
        <v>/</v>
      </c>
      <c r="H383" s="18" t="e">
        <f>VLOOKUP(C383,[4]Sheet1!$A$2:$L$251,12,0)</f>
        <v>#N/A</v>
      </c>
    </row>
    <row r="384" spans="3:8" x14ac:dyDescent="0.3">
      <c r="C384" s="5" t="s">
        <v>1150</v>
      </c>
      <c r="D384" s="17" t="str">
        <f t="shared" si="5"/>
        <v>/</v>
      </c>
      <c r="H384" s="18" t="e">
        <f>VLOOKUP(C384,[4]Sheet1!$A$2:$L$251,12,0)</f>
        <v>#N/A</v>
      </c>
    </row>
    <row r="385" spans="3:8" x14ac:dyDescent="0.3">
      <c r="C385" s="5" t="s">
        <v>1151</v>
      </c>
      <c r="D385" s="17" t="str">
        <f t="shared" si="5"/>
        <v>/</v>
      </c>
      <c r="H385" s="18" t="e">
        <f>VLOOKUP(C385,[4]Sheet1!$A$2:$L$251,12,0)</f>
        <v>#N/A</v>
      </c>
    </row>
    <row r="386" spans="3:8" x14ac:dyDescent="0.3">
      <c r="C386" s="5" t="s">
        <v>1152</v>
      </c>
      <c r="D386" s="17" t="str">
        <f t="shared" ref="D386:D431" si="6">A386&amp;"/"&amp;B386</f>
        <v>/</v>
      </c>
      <c r="H386" s="18" t="e">
        <f>VLOOKUP(C386,[4]Sheet1!$A$2:$L$251,12,0)</f>
        <v>#N/A</v>
      </c>
    </row>
    <row r="387" spans="3:8" x14ac:dyDescent="0.3">
      <c r="C387" s="5" t="s">
        <v>1153</v>
      </c>
      <c r="D387" s="17" t="str">
        <f t="shared" si="6"/>
        <v>/</v>
      </c>
      <c r="H387" s="18" t="e">
        <f>VLOOKUP(C387,[4]Sheet1!$A$2:$L$251,12,0)</f>
        <v>#N/A</v>
      </c>
    </row>
    <row r="388" spans="3:8" x14ac:dyDescent="0.3">
      <c r="C388" s="5" t="s">
        <v>1154</v>
      </c>
      <c r="D388" s="17" t="str">
        <f t="shared" si="6"/>
        <v>/</v>
      </c>
      <c r="H388" s="18" t="e">
        <f>VLOOKUP(C388,[4]Sheet1!$A$2:$L$251,12,0)</f>
        <v>#N/A</v>
      </c>
    </row>
    <row r="389" spans="3:8" x14ac:dyDescent="0.3">
      <c r="C389" s="5" t="s">
        <v>1155</v>
      </c>
      <c r="D389" s="17" t="str">
        <f t="shared" si="6"/>
        <v>/</v>
      </c>
      <c r="H389" s="18" t="e">
        <f>VLOOKUP(C389,[4]Sheet1!$A$2:$L$251,12,0)</f>
        <v>#N/A</v>
      </c>
    </row>
    <row r="390" spans="3:8" x14ac:dyDescent="0.3">
      <c r="C390" s="5" t="s">
        <v>1156</v>
      </c>
      <c r="D390" s="17" t="str">
        <f t="shared" si="6"/>
        <v>/</v>
      </c>
      <c r="H390" s="18" t="e">
        <f>VLOOKUP(C390,[4]Sheet1!$A$2:$L$251,12,0)</f>
        <v>#N/A</v>
      </c>
    </row>
    <row r="391" spans="3:8" x14ac:dyDescent="0.3">
      <c r="C391" s="5" t="s">
        <v>1157</v>
      </c>
      <c r="D391" s="17" t="str">
        <f t="shared" si="6"/>
        <v>/</v>
      </c>
      <c r="H391" s="18" t="e">
        <f>VLOOKUP(C391,[4]Sheet1!$A$2:$L$251,12,0)</f>
        <v>#N/A</v>
      </c>
    </row>
    <row r="392" spans="3:8" x14ac:dyDescent="0.3">
      <c r="C392" s="5" t="s">
        <v>1158</v>
      </c>
      <c r="D392" s="17" t="str">
        <f t="shared" si="6"/>
        <v>/</v>
      </c>
      <c r="H392" s="18" t="e">
        <f>VLOOKUP(C392,[4]Sheet1!$A$2:$L$251,12,0)</f>
        <v>#N/A</v>
      </c>
    </row>
    <row r="393" spans="3:8" x14ac:dyDescent="0.3">
      <c r="C393" s="5" t="s">
        <v>1159</v>
      </c>
      <c r="D393" s="17" t="str">
        <f t="shared" si="6"/>
        <v>/</v>
      </c>
      <c r="H393" s="18" t="e">
        <f>VLOOKUP(C393,[4]Sheet1!$A$2:$L$251,12,0)</f>
        <v>#N/A</v>
      </c>
    </row>
    <row r="394" spans="3:8" x14ac:dyDescent="0.3">
      <c r="C394" s="5" t="s">
        <v>1160</v>
      </c>
      <c r="D394" s="17" t="str">
        <f t="shared" si="6"/>
        <v>/</v>
      </c>
      <c r="H394" s="18" t="e">
        <f>VLOOKUP(C394,[4]Sheet1!$A$2:$L$251,12,0)</f>
        <v>#N/A</v>
      </c>
    </row>
    <row r="395" spans="3:8" x14ac:dyDescent="0.3">
      <c r="C395" s="5" t="s">
        <v>1161</v>
      </c>
      <c r="D395" s="17" t="str">
        <f t="shared" si="6"/>
        <v>/</v>
      </c>
      <c r="H395" s="18" t="e">
        <f>VLOOKUP(C395,[4]Sheet1!$A$2:$L$251,12,0)</f>
        <v>#N/A</v>
      </c>
    </row>
    <row r="396" spans="3:8" x14ac:dyDescent="0.3">
      <c r="C396" s="5" t="s">
        <v>1162</v>
      </c>
      <c r="D396" s="17" t="str">
        <f t="shared" si="6"/>
        <v>/</v>
      </c>
      <c r="H396" s="18" t="e">
        <f>VLOOKUP(C396,[4]Sheet1!$A$2:$L$251,12,0)</f>
        <v>#N/A</v>
      </c>
    </row>
    <row r="397" spans="3:8" x14ac:dyDescent="0.3">
      <c r="C397" s="5" t="s">
        <v>1163</v>
      </c>
      <c r="D397" s="17" t="str">
        <f t="shared" si="6"/>
        <v>/</v>
      </c>
      <c r="H397" s="18" t="e">
        <f>VLOOKUP(C397,[4]Sheet1!$A$2:$L$251,12,0)</f>
        <v>#N/A</v>
      </c>
    </row>
    <row r="398" spans="3:8" x14ac:dyDescent="0.3">
      <c r="C398" s="5" t="s">
        <v>1164</v>
      </c>
      <c r="D398" s="17" t="str">
        <f t="shared" si="6"/>
        <v>/</v>
      </c>
      <c r="H398" s="18" t="e">
        <f>VLOOKUP(C398,[4]Sheet1!$A$2:$L$251,12,0)</f>
        <v>#N/A</v>
      </c>
    </row>
    <row r="399" spans="3:8" x14ac:dyDescent="0.3">
      <c r="C399" s="5" t="s">
        <v>1165</v>
      </c>
      <c r="D399" s="17" t="str">
        <f t="shared" si="6"/>
        <v>/</v>
      </c>
      <c r="H399" s="18" t="e">
        <f>VLOOKUP(C399,[4]Sheet1!$A$2:$L$251,12,0)</f>
        <v>#N/A</v>
      </c>
    </row>
    <row r="400" spans="3:8" x14ac:dyDescent="0.3">
      <c r="C400" s="5" t="s">
        <v>1166</v>
      </c>
      <c r="D400" s="17" t="str">
        <f t="shared" si="6"/>
        <v>/</v>
      </c>
      <c r="H400" s="18" t="e">
        <f>VLOOKUP(C400,[4]Sheet1!$A$2:$L$251,12,0)</f>
        <v>#N/A</v>
      </c>
    </row>
    <row r="401" spans="3:8" x14ac:dyDescent="0.3">
      <c r="C401" s="5" t="s">
        <v>1167</v>
      </c>
      <c r="D401" s="17" t="str">
        <f t="shared" si="6"/>
        <v>/</v>
      </c>
      <c r="H401" s="18" t="e">
        <f>VLOOKUP(C401,[4]Sheet1!$A$2:$L$251,12,0)</f>
        <v>#N/A</v>
      </c>
    </row>
    <row r="402" spans="3:8" x14ac:dyDescent="0.3">
      <c r="C402" s="5" t="s">
        <v>1168</v>
      </c>
      <c r="D402" s="17" t="str">
        <f t="shared" si="6"/>
        <v>/</v>
      </c>
      <c r="H402" s="18" t="e">
        <f>VLOOKUP(C402,[4]Sheet1!$A$2:$L$251,12,0)</f>
        <v>#N/A</v>
      </c>
    </row>
    <row r="403" spans="3:8" x14ac:dyDescent="0.3">
      <c r="C403" s="5" t="s">
        <v>1169</v>
      </c>
      <c r="D403" s="17" t="str">
        <f t="shared" si="6"/>
        <v>/</v>
      </c>
      <c r="H403" s="18" t="e">
        <f>VLOOKUP(C403,[4]Sheet1!$A$2:$L$251,12,0)</f>
        <v>#N/A</v>
      </c>
    </row>
    <row r="404" spans="3:8" x14ac:dyDescent="0.3">
      <c r="C404" s="5" t="s">
        <v>1170</v>
      </c>
      <c r="D404" s="17" t="str">
        <f t="shared" si="6"/>
        <v>/</v>
      </c>
      <c r="H404" s="18" t="e">
        <f>VLOOKUP(C404,[4]Sheet1!$A$2:$L$251,12,0)</f>
        <v>#N/A</v>
      </c>
    </row>
    <row r="405" spans="3:8" x14ac:dyDescent="0.3">
      <c r="C405" s="5" t="s">
        <v>1171</v>
      </c>
      <c r="D405" s="17" t="str">
        <f t="shared" si="6"/>
        <v>/</v>
      </c>
      <c r="H405" s="18" t="e">
        <f>VLOOKUP(C405,[4]Sheet1!$A$2:$L$251,12,0)</f>
        <v>#N/A</v>
      </c>
    </row>
    <row r="406" spans="3:8" x14ac:dyDescent="0.3">
      <c r="C406" s="5" t="s">
        <v>1172</v>
      </c>
      <c r="D406" s="17" t="str">
        <f t="shared" si="6"/>
        <v>/</v>
      </c>
      <c r="H406" s="18" t="e">
        <f>VLOOKUP(C406,[4]Sheet1!$A$2:$L$251,12,0)</f>
        <v>#N/A</v>
      </c>
    </row>
    <row r="407" spans="3:8" x14ac:dyDescent="0.3">
      <c r="C407" s="5" t="s">
        <v>1173</v>
      </c>
      <c r="D407" s="17" t="str">
        <f t="shared" si="6"/>
        <v>/</v>
      </c>
      <c r="H407" s="18" t="e">
        <f>VLOOKUP(C407,[4]Sheet1!$A$2:$L$251,12,0)</f>
        <v>#N/A</v>
      </c>
    </row>
    <row r="408" spans="3:8" x14ac:dyDescent="0.3">
      <c r="C408" s="5" t="s">
        <v>1174</v>
      </c>
      <c r="D408" s="17" t="str">
        <f t="shared" si="6"/>
        <v>/</v>
      </c>
      <c r="H408" s="18" t="e">
        <f>VLOOKUP(C408,[4]Sheet1!$A$2:$L$251,12,0)</f>
        <v>#N/A</v>
      </c>
    </row>
    <row r="409" spans="3:8" x14ac:dyDescent="0.3">
      <c r="C409" s="5" t="s">
        <v>1175</v>
      </c>
      <c r="D409" s="17" t="str">
        <f t="shared" si="6"/>
        <v>/</v>
      </c>
      <c r="H409" s="18" t="e">
        <f>VLOOKUP(C409,[4]Sheet1!$A$2:$L$251,12,0)</f>
        <v>#N/A</v>
      </c>
    </row>
    <row r="410" spans="3:8" x14ac:dyDescent="0.3">
      <c r="C410" s="5" t="s">
        <v>1176</v>
      </c>
      <c r="D410" s="17" t="str">
        <f t="shared" si="6"/>
        <v>/</v>
      </c>
      <c r="H410" s="18" t="e">
        <f>VLOOKUP(C410,[4]Sheet1!$A$2:$L$251,12,0)</f>
        <v>#N/A</v>
      </c>
    </row>
    <row r="411" spans="3:8" x14ac:dyDescent="0.3">
      <c r="C411" s="5" t="s">
        <v>1177</v>
      </c>
      <c r="D411" s="17" t="str">
        <f t="shared" si="6"/>
        <v>/</v>
      </c>
      <c r="H411" s="18" t="e">
        <f>VLOOKUP(C411,[4]Sheet1!$A$2:$L$251,12,0)</f>
        <v>#N/A</v>
      </c>
    </row>
    <row r="412" spans="3:8" x14ac:dyDescent="0.3">
      <c r="C412" s="5" t="s">
        <v>1178</v>
      </c>
      <c r="D412" s="17" t="str">
        <f t="shared" si="6"/>
        <v>/</v>
      </c>
      <c r="H412" s="18" t="e">
        <f>VLOOKUP(C412,[4]Sheet1!$A$2:$L$251,12,0)</f>
        <v>#N/A</v>
      </c>
    </row>
    <row r="413" spans="3:8" x14ac:dyDescent="0.3">
      <c r="C413" s="5" t="s">
        <v>1179</v>
      </c>
      <c r="D413" s="17" t="str">
        <f t="shared" si="6"/>
        <v>/</v>
      </c>
      <c r="H413" s="18" t="e">
        <f>VLOOKUP(C413,[4]Sheet1!$A$2:$L$251,12,0)</f>
        <v>#N/A</v>
      </c>
    </row>
    <row r="414" spans="3:8" x14ac:dyDescent="0.3">
      <c r="C414" s="5" t="s">
        <v>1180</v>
      </c>
      <c r="D414" s="17" t="str">
        <f t="shared" si="6"/>
        <v>/</v>
      </c>
      <c r="H414" s="18" t="e">
        <f>VLOOKUP(C414,[4]Sheet1!$A$2:$L$251,12,0)</f>
        <v>#N/A</v>
      </c>
    </row>
    <row r="415" spans="3:8" x14ac:dyDescent="0.3">
      <c r="C415" s="5" t="s">
        <v>1181</v>
      </c>
      <c r="D415" s="17" t="str">
        <f t="shared" si="6"/>
        <v>/</v>
      </c>
      <c r="H415" s="18" t="e">
        <f>VLOOKUP(C415,[4]Sheet1!$A$2:$L$251,12,0)</f>
        <v>#N/A</v>
      </c>
    </row>
    <row r="416" spans="3:8" x14ac:dyDescent="0.3">
      <c r="C416" s="5" t="s">
        <v>1182</v>
      </c>
      <c r="D416" s="17" t="str">
        <f t="shared" si="6"/>
        <v>/</v>
      </c>
      <c r="H416" s="18" t="e">
        <f>VLOOKUP(C416,[4]Sheet1!$A$2:$L$251,12,0)</f>
        <v>#N/A</v>
      </c>
    </row>
    <row r="417" spans="3:8" x14ac:dyDescent="0.3">
      <c r="C417" s="5" t="s">
        <v>1183</v>
      </c>
      <c r="D417" s="17" t="str">
        <f t="shared" si="6"/>
        <v>/</v>
      </c>
      <c r="H417" s="18" t="e">
        <f>VLOOKUP(C417,[4]Sheet1!$A$2:$L$251,12,0)</f>
        <v>#N/A</v>
      </c>
    </row>
    <row r="418" spans="3:8" x14ac:dyDescent="0.3">
      <c r="C418" s="5" t="s">
        <v>1184</v>
      </c>
      <c r="D418" s="17" t="str">
        <f t="shared" si="6"/>
        <v>/</v>
      </c>
      <c r="H418" s="18" t="e">
        <f>VLOOKUP(C418,[4]Sheet1!$A$2:$L$251,12,0)</f>
        <v>#N/A</v>
      </c>
    </row>
    <row r="419" spans="3:8" x14ac:dyDescent="0.3">
      <c r="C419" s="5" t="s">
        <v>1185</v>
      </c>
      <c r="D419" s="17" t="str">
        <f t="shared" si="6"/>
        <v>/</v>
      </c>
      <c r="H419" s="18" t="e">
        <f>VLOOKUP(C419,[4]Sheet1!$A$2:$L$251,12,0)</f>
        <v>#N/A</v>
      </c>
    </row>
    <row r="420" spans="3:8" x14ac:dyDescent="0.3">
      <c r="C420" s="5" t="s">
        <v>1186</v>
      </c>
      <c r="D420" s="17" t="str">
        <f t="shared" si="6"/>
        <v>/</v>
      </c>
      <c r="H420" s="18" t="e">
        <f>VLOOKUP(C420,[4]Sheet1!$A$2:$L$251,12,0)</f>
        <v>#N/A</v>
      </c>
    </row>
    <row r="421" spans="3:8" x14ac:dyDescent="0.3">
      <c r="C421" s="5" t="s">
        <v>1187</v>
      </c>
      <c r="D421" s="17" t="str">
        <f t="shared" si="6"/>
        <v>/</v>
      </c>
      <c r="H421" s="18" t="e">
        <f>VLOOKUP(C421,[4]Sheet1!$A$2:$L$251,12,0)</f>
        <v>#N/A</v>
      </c>
    </row>
    <row r="422" spans="3:8" x14ac:dyDescent="0.3">
      <c r="C422" s="5" t="s">
        <v>1188</v>
      </c>
      <c r="D422" s="17" t="str">
        <f t="shared" si="6"/>
        <v>/</v>
      </c>
      <c r="H422" s="18" t="e">
        <f>VLOOKUP(C422,[4]Sheet1!$A$2:$L$251,12,0)</f>
        <v>#N/A</v>
      </c>
    </row>
    <row r="423" spans="3:8" x14ac:dyDescent="0.3">
      <c r="C423" s="5" t="s">
        <v>1189</v>
      </c>
      <c r="D423" s="17" t="str">
        <f t="shared" si="6"/>
        <v>/</v>
      </c>
      <c r="H423" s="18" t="e">
        <f>VLOOKUP(C423,[4]Sheet1!$A$2:$L$251,12,0)</f>
        <v>#N/A</v>
      </c>
    </row>
    <row r="424" spans="3:8" x14ac:dyDescent="0.3">
      <c r="C424" s="5" t="s">
        <v>1190</v>
      </c>
      <c r="D424" s="17" t="str">
        <f t="shared" si="6"/>
        <v>/</v>
      </c>
      <c r="H424" s="18" t="e">
        <f>VLOOKUP(C424,[4]Sheet1!$A$2:$L$251,12,0)</f>
        <v>#N/A</v>
      </c>
    </row>
    <row r="425" spans="3:8" x14ac:dyDescent="0.3">
      <c r="C425" s="5" t="s">
        <v>1191</v>
      </c>
      <c r="D425" s="17" t="str">
        <f t="shared" si="6"/>
        <v>/</v>
      </c>
    </row>
    <row r="426" spans="3:8" x14ac:dyDescent="0.3">
      <c r="C426" s="5" t="s">
        <v>1192</v>
      </c>
      <c r="D426" s="17" t="str">
        <f t="shared" si="6"/>
        <v>/</v>
      </c>
    </row>
    <row r="427" spans="3:8" x14ac:dyDescent="0.3">
      <c r="C427" s="5" t="s">
        <v>1193</v>
      </c>
      <c r="D427" s="17" t="str">
        <f t="shared" si="6"/>
        <v>/</v>
      </c>
    </row>
    <row r="428" spans="3:8" x14ac:dyDescent="0.3">
      <c r="C428" s="5" t="s">
        <v>1194</v>
      </c>
      <c r="D428" s="17" t="str">
        <f t="shared" si="6"/>
        <v>/</v>
      </c>
    </row>
    <row r="429" spans="3:8" x14ac:dyDescent="0.3">
      <c r="C429" s="5" t="s">
        <v>1195</v>
      </c>
      <c r="D429" s="17" t="str">
        <f t="shared" si="6"/>
        <v>/</v>
      </c>
    </row>
    <row r="430" spans="3:8" x14ac:dyDescent="0.3">
      <c r="C430" s="5" t="s">
        <v>1196</v>
      </c>
      <c r="D430" s="17" t="str">
        <f t="shared" si="6"/>
        <v>/</v>
      </c>
    </row>
    <row r="431" spans="3:8" x14ac:dyDescent="0.3">
      <c r="C431" s="5" t="s">
        <v>1197</v>
      </c>
      <c r="D431" s="17" t="str">
        <f t="shared" si="6"/>
        <v>/</v>
      </c>
    </row>
  </sheetData>
  <autoFilter ref="A1:R431" xr:uid="{00000000-0009-0000-0000-000005000000}"/>
  <phoneticPr fontId="1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C211"/>
  <sheetViews>
    <sheetView workbookViewId="0">
      <selection activeCell="F172" sqref="F172"/>
    </sheetView>
  </sheetViews>
  <sheetFormatPr defaultRowHeight="16.5" x14ac:dyDescent="0.3"/>
  <sheetData>
    <row r="1" spans="1:3" x14ac:dyDescent="0.3">
      <c r="A1" s="64" t="s">
        <v>1198</v>
      </c>
      <c r="B1" s="64" t="s">
        <v>1</v>
      </c>
      <c r="C1" s="64" t="s">
        <v>1199</v>
      </c>
    </row>
    <row r="2" spans="1:3" x14ac:dyDescent="0.3">
      <c r="A2" s="68"/>
      <c r="B2" s="68"/>
      <c r="C2" s="68"/>
    </row>
    <row r="3" spans="1:3" x14ac:dyDescent="0.3">
      <c r="A3" s="2" t="s">
        <v>482</v>
      </c>
      <c r="B3" s="1" t="s">
        <v>1200</v>
      </c>
      <c r="C3" s="1" t="s">
        <v>1201</v>
      </c>
    </row>
    <row r="4" spans="1:3" x14ac:dyDescent="0.3">
      <c r="A4" s="2" t="s">
        <v>485</v>
      </c>
      <c r="B4" s="1" t="s">
        <v>1200</v>
      </c>
      <c r="C4" s="1" t="s">
        <v>1202</v>
      </c>
    </row>
    <row r="5" spans="1:3" x14ac:dyDescent="0.3">
      <c r="A5" s="2" t="s">
        <v>488</v>
      </c>
      <c r="B5" s="1" t="s">
        <v>25</v>
      </c>
      <c r="C5" s="1" t="s">
        <v>1203</v>
      </c>
    </row>
    <row r="6" spans="1:3" x14ac:dyDescent="0.3">
      <c r="A6" s="2" t="s">
        <v>491</v>
      </c>
      <c r="B6" s="1" t="s">
        <v>1204</v>
      </c>
      <c r="C6" s="1" t="s">
        <v>1205</v>
      </c>
    </row>
    <row r="7" spans="1:3" x14ac:dyDescent="0.3">
      <c r="A7" s="2" t="s">
        <v>495</v>
      </c>
      <c r="B7" s="1" t="s">
        <v>1200</v>
      </c>
      <c r="C7" s="1" t="s">
        <v>1206</v>
      </c>
    </row>
    <row r="8" spans="1:3" x14ac:dyDescent="0.3">
      <c r="A8" s="2" t="s">
        <v>499</v>
      </c>
      <c r="B8" s="1" t="s">
        <v>21</v>
      </c>
      <c r="C8" s="1" t="s">
        <v>1207</v>
      </c>
    </row>
    <row r="9" spans="1:3" x14ac:dyDescent="0.3">
      <c r="A9" s="2" t="s">
        <v>501</v>
      </c>
      <c r="B9" s="1" t="s">
        <v>25</v>
      </c>
      <c r="C9" s="1" t="s">
        <v>1208</v>
      </c>
    </row>
    <row r="10" spans="1:3" x14ac:dyDescent="0.3">
      <c r="A10" s="2" t="s">
        <v>504</v>
      </c>
      <c r="B10" s="1" t="s">
        <v>23</v>
      </c>
      <c r="C10" s="1" t="s">
        <v>1209</v>
      </c>
    </row>
    <row r="11" spans="1:3" x14ac:dyDescent="0.3">
      <c r="A11" s="2" t="s">
        <v>1210</v>
      </c>
      <c r="B11" s="1" t="s">
        <v>25</v>
      </c>
      <c r="C11" s="1" t="s">
        <v>1211</v>
      </c>
    </row>
    <row r="12" spans="1:3" x14ac:dyDescent="0.3">
      <c r="A12" s="2" t="s">
        <v>507</v>
      </c>
      <c r="B12" s="1" t="s">
        <v>9</v>
      </c>
      <c r="C12" s="1" t="s">
        <v>1212</v>
      </c>
    </row>
    <row r="13" spans="1:3" x14ac:dyDescent="0.3">
      <c r="A13" s="2" t="s">
        <v>510</v>
      </c>
      <c r="B13" s="1" t="s">
        <v>511</v>
      </c>
      <c r="C13" s="1" t="s">
        <v>1213</v>
      </c>
    </row>
    <row r="14" spans="1:3" x14ac:dyDescent="0.3">
      <c r="A14" s="2" t="s">
        <v>514</v>
      </c>
      <c r="B14" s="1" t="s">
        <v>1200</v>
      </c>
      <c r="C14" s="1" t="s">
        <v>1214</v>
      </c>
    </row>
    <row r="15" spans="1:3" x14ac:dyDescent="0.3">
      <c r="A15" s="2" t="s">
        <v>517</v>
      </c>
      <c r="B15" s="1" t="s">
        <v>1200</v>
      </c>
      <c r="C15" s="1" t="s">
        <v>1215</v>
      </c>
    </row>
    <row r="16" spans="1:3" x14ac:dyDescent="0.3">
      <c r="A16" s="2" t="s">
        <v>520</v>
      </c>
      <c r="B16" s="1" t="s">
        <v>1200</v>
      </c>
      <c r="C16" s="1" t="s">
        <v>1216</v>
      </c>
    </row>
    <row r="17" spans="1:3" x14ac:dyDescent="0.3">
      <c r="A17" s="2" t="s">
        <v>523</v>
      </c>
      <c r="B17" s="1" t="s">
        <v>1200</v>
      </c>
      <c r="C17" s="1" t="s">
        <v>1217</v>
      </c>
    </row>
    <row r="18" spans="1:3" x14ac:dyDescent="0.3">
      <c r="A18" s="2" t="s">
        <v>525</v>
      </c>
      <c r="B18" s="1" t="s">
        <v>23</v>
      </c>
      <c r="C18" s="1" t="s">
        <v>1218</v>
      </c>
    </row>
    <row r="19" spans="1:3" x14ac:dyDescent="0.3">
      <c r="A19" s="2" t="s">
        <v>527</v>
      </c>
      <c r="B19" s="1" t="s">
        <v>1219</v>
      </c>
      <c r="C19" s="1" t="s">
        <v>366</v>
      </c>
    </row>
    <row r="20" spans="1:3" x14ac:dyDescent="0.3">
      <c r="A20" s="2" t="s">
        <v>529</v>
      </c>
      <c r="B20" s="1" t="s">
        <v>23</v>
      </c>
      <c r="C20" s="1" t="s">
        <v>1220</v>
      </c>
    </row>
    <row r="21" spans="1:3" x14ac:dyDescent="0.3">
      <c r="A21" s="2" t="s">
        <v>531</v>
      </c>
      <c r="B21" s="1" t="s">
        <v>21</v>
      </c>
      <c r="C21" s="1" t="s">
        <v>1221</v>
      </c>
    </row>
    <row r="22" spans="1:3" x14ac:dyDescent="0.3">
      <c r="A22" s="2" t="s">
        <v>534</v>
      </c>
      <c r="B22" s="1" t="s">
        <v>1222</v>
      </c>
      <c r="C22" s="1" t="s">
        <v>1223</v>
      </c>
    </row>
    <row r="23" spans="1:3" x14ac:dyDescent="0.3">
      <c r="A23" s="2" t="s">
        <v>537</v>
      </c>
      <c r="B23" s="1" t="s">
        <v>25</v>
      </c>
      <c r="C23" s="1" t="s">
        <v>1224</v>
      </c>
    </row>
    <row r="24" spans="1:3" x14ac:dyDescent="0.3">
      <c r="A24" s="2" t="s">
        <v>539</v>
      </c>
      <c r="B24" s="1" t="s">
        <v>1225</v>
      </c>
      <c r="C24" s="1" t="s">
        <v>297</v>
      </c>
    </row>
    <row r="25" spans="1:3" x14ac:dyDescent="0.3">
      <c r="A25" s="2" t="s">
        <v>542</v>
      </c>
      <c r="B25" s="1" t="s">
        <v>21</v>
      </c>
      <c r="C25" s="1" t="s">
        <v>349</v>
      </c>
    </row>
    <row r="26" spans="1:3" x14ac:dyDescent="0.3">
      <c r="A26" s="2" t="s">
        <v>1226</v>
      </c>
      <c r="B26" s="1" t="s">
        <v>1200</v>
      </c>
      <c r="C26" s="1" t="s">
        <v>1227</v>
      </c>
    </row>
    <row r="27" spans="1:3" x14ac:dyDescent="0.3">
      <c r="A27" s="2" t="s">
        <v>545</v>
      </c>
      <c r="B27" s="1" t="s">
        <v>1200</v>
      </c>
      <c r="C27" s="1" t="s">
        <v>1228</v>
      </c>
    </row>
    <row r="28" spans="1:3" x14ac:dyDescent="0.3">
      <c r="A28" s="2" t="s">
        <v>1229</v>
      </c>
      <c r="B28" s="1" t="s">
        <v>1225</v>
      </c>
      <c r="C28" s="1" t="s">
        <v>1230</v>
      </c>
    </row>
    <row r="29" spans="1:3" x14ac:dyDescent="0.3">
      <c r="A29" s="2" t="s">
        <v>548</v>
      </c>
      <c r="B29" s="1" t="s">
        <v>23</v>
      </c>
      <c r="C29" s="1" t="s">
        <v>1231</v>
      </c>
    </row>
    <row r="30" spans="1:3" x14ac:dyDescent="0.3">
      <c r="A30" s="2" t="s">
        <v>551</v>
      </c>
      <c r="B30" s="1" t="s">
        <v>1232</v>
      </c>
      <c r="C30" s="1" t="s">
        <v>1233</v>
      </c>
    </row>
    <row r="31" spans="1:3" x14ac:dyDescent="0.3">
      <c r="A31" s="2" t="s">
        <v>554</v>
      </c>
      <c r="B31" s="1" t="s">
        <v>1200</v>
      </c>
      <c r="C31" s="1" t="s">
        <v>1234</v>
      </c>
    </row>
    <row r="32" spans="1:3" x14ac:dyDescent="0.3">
      <c r="A32" s="2" t="s">
        <v>556</v>
      </c>
      <c r="B32" s="1" t="s">
        <v>21</v>
      </c>
      <c r="C32" s="1" t="s">
        <v>1235</v>
      </c>
    </row>
    <row r="33" spans="1:3" x14ac:dyDescent="0.3">
      <c r="A33" s="2" t="s">
        <v>558</v>
      </c>
      <c r="B33" s="1" t="s">
        <v>25</v>
      </c>
      <c r="C33" s="1" t="s">
        <v>1236</v>
      </c>
    </row>
    <row r="34" spans="1:3" x14ac:dyDescent="0.3">
      <c r="A34" s="2" t="s">
        <v>560</v>
      </c>
      <c r="B34" s="1" t="s">
        <v>1225</v>
      </c>
      <c r="C34" s="1" t="s">
        <v>1237</v>
      </c>
    </row>
    <row r="35" spans="1:3" x14ac:dyDescent="0.3">
      <c r="A35" s="2" t="s">
        <v>562</v>
      </c>
      <c r="B35" s="1" t="s">
        <v>21</v>
      </c>
      <c r="C35" s="1" t="s">
        <v>1238</v>
      </c>
    </row>
    <row r="36" spans="1:3" x14ac:dyDescent="0.3">
      <c r="A36" s="2" t="s">
        <v>564</v>
      </c>
      <c r="B36" s="1" t="s">
        <v>21</v>
      </c>
      <c r="C36" s="1" t="s">
        <v>1239</v>
      </c>
    </row>
    <row r="37" spans="1:3" x14ac:dyDescent="0.3">
      <c r="A37" s="2" t="s">
        <v>566</v>
      </c>
      <c r="B37" s="1" t="s">
        <v>1222</v>
      </c>
      <c r="C37" s="1" t="s">
        <v>1240</v>
      </c>
    </row>
    <row r="38" spans="1:3" x14ac:dyDescent="0.3">
      <c r="A38" s="2" t="s">
        <v>569</v>
      </c>
      <c r="B38" s="1" t="s">
        <v>1241</v>
      </c>
      <c r="C38" s="1" t="s">
        <v>1242</v>
      </c>
    </row>
    <row r="39" spans="1:3" x14ac:dyDescent="0.3">
      <c r="A39" s="2" t="s">
        <v>571</v>
      </c>
      <c r="B39" s="1" t="s">
        <v>1222</v>
      </c>
      <c r="C39" s="1" t="s">
        <v>1243</v>
      </c>
    </row>
    <row r="40" spans="1:3" x14ac:dyDescent="0.3">
      <c r="A40" s="2" t="s">
        <v>1244</v>
      </c>
      <c r="B40" s="1" t="s">
        <v>9</v>
      </c>
      <c r="C40" s="1" t="s">
        <v>916</v>
      </c>
    </row>
    <row r="41" spans="1:3" x14ac:dyDescent="0.3">
      <c r="A41" s="2" t="s">
        <v>574</v>
      </c>
      <c r="B41" s="1" t="s">
        <v>1222</v>
      </c>
      <c r="C41" s="1" t="s">
        <v>1245</v>
      </c>
    </row>
    <row r="42" spans="1:3" x14ac:dyDescent="0.3">
      <c r="A42" s="2" t="s">
        <v>577</v>
      </c>
      <c r="B42" s="1" t="s">
        <v>578</v>
      </c>
      <c r="C42" s="1" t="s">
        <v>1246</v>
      </c>
    </row>
    <row r="43" spans="1:3" x14ac:dyDescent="0.3">
      <c r="A43" s="2" t="s">
        <v>580</v>
      </c>
      <c r="B43" s="1" t="s">
        <v>1222</v>
      </c>
      <c r="C43" s="1" t="s">
        <v>1247</v>
      </c>
    </row>
    <row r="44" spans="1:3" x14ac:dyDescent="0.3">
      <c r="A44" s="2" t="s">
        <v>583</v>
      </c>
      <c r="B44" s="1" t="s">
        <v>23</v>
      </c>
      <c r="C44" s="1" t="s">
        <v>1248</v>
      </c>
    </row>
    <row r="45" spans="1:3" x14ac:dyDescent="0.3">
      <c r="A45" s="2" t="s">
        <v>586</v>
      </c>
      <c r="B45" s="1" t="s">
        <v>23</v>
      </c>
      <c r="C45" s="1" t="s">
        <v>1249</v>
      </c>
    </row>
    <row r="46" spans="1:3" x14ac:dyDescent="0.3">
      <c r="A46" s="2" t="s">
        <v>588</v>
      </c>
      <c r="B46" s="1" t="s">
        <v>1200</v>
      </c>
      <c r="C46" s="1" t="s">
        <v>1250</v>
      </c>
    </row>
    <row r="47" spans="1:3" x14ac:dyDescent="0.3">
      <c r="A47" s="2" t="s">
        <v>590</v>
      </c>
      <c r="B47" s="1" t="s">
        <v>1222</v>
      </c>
      <c r="C47" s="1" t="s">
        <v>1251</v>
      </c>
    </row>
    <row r="48" spans="1:3" x14ac:dyDescent="0.3">
      <c r="A48" s="2" t="s">
        <v>592</v>
      </c>
      <c r="B48" s="1" t="s">
        <v>593</v>
      </c>
      <c r="C48" s="1" t="s">
        <v>1252</v>
      </c>
    </row>
    <row r="49" spans="1:3" x14ac:dyDescent="0.3">
      <c r="A49" s="2" t="s">
        <v>596</v>
      </c>
      <c r="B49" s="1" t="s">
        <v>1222</v>
      </c>
      <c r="C49" s="1" t="s">
        <v>1253</v>
      </c>
    </row>
    <row r="50" spans="1:3" x14ac:dyDescent="0.3">
      <c r="A50" s="2" t="s">
        <v>598</v>
      </c>
      <c r="B50" s="1" t="s">
        <v>1200</v>
      </c>
      <c r="C50" s="1" t="s">
        <v>1254</v>
      </c>
    </row>
    <row r="51" spans="1:3" x14ac:dyDescent="0.3">
      <c r="A51" s="2" t="s">
        <v>600</v>
      </c>
      <c r="B51" s="1" t="s">
        <v>23</v>
      </c>
      <c r="C51" s="1" t="s">
        <v>1255</v>
      </c>
    </row>
    <row r="52" spans="1:3" x14ac:dyDescent="0.3">
      <c r="A52" s="2" t="s">
        <v>602</v>
      </c>
      <c r="B52" s="1" t="s">
        <v>1225</v>
      </c>
      <c r="C52" s="1" t="s">
        <v>1256</v>
      </c>
    </row>
    <row r="53" spans="1:3" x14ac:dyDescent="0.3">
      <c r="A53" s="2" t="s">
        <v>604</v>
      </c>
      <c r="B53" s="1" t="s">
        <v>23</v>
      </c>
      <c r="C53" s="1" t="s">
        <v>1257</v>
      </c>
    </row>
    <row r="54" spans="1:3" x14ac:dyDescent="0.3">
      <c r="A54" s="2" t="s">
        <v>606</v>
      </c>
      <c r="B54" s="1" t="s">
        <v>1258</v>
      </c>
      <c r="C54" s="1" t="s">
        <v>1259</v>
      </c>
    </row>
    <row r="55" spans="1:3" x14ac:dyDescent="0.3">
      <c r="A55" s="2" t="s">
        <v>609</v>
      </c>
      <c r="B55" s="1" t="s">
        <v>21</v>
      </c>
      <c r="C55" s="1" t="s">
        <v>1260</v>
      </c>
    </row>
    <row r="56" spans="1:3" x14ac:dyDescent="0.3">
      <c r="A56" s="2" t="s">
        <v>1261</v>
      </c>
      <c r="B56" s="1" t="s">
        <v>1232</v>
      </c>
      <c r="C56" s="1" t="s">
        <v>1262</v>
      </c>
    </row>
    <row r="57" spans="1:3" x14ac:dyDescent="0.3">
      <c r="A57" s="2" t="s">
        <v>611</v>
      </c>
      <c r="B57" s="1" t="s">
        <v>21</v>
      </c>
      <c r="C57" s="1" t="s">
        <v>361</v>
      </c>
    </row>
    <row r="58" spans="1:3" x14ac:dyDescent="0.3">
      <c r="A58" s="2" t="s">
        <v>613</v>
      </c>
      <c r="B58" s="1" t="s">
        <v>23</v>
      </c>
      <c r="C58" s="1" t="s">
        <v>1263</v>
      </c>
    </row>
    <row r="59" spans="1:3" x14ac:dyDescent="0.3">
      <c r="A59" s="2" t="s">
        <v>616</v>
      </c>
      <c r="B59" s="1" t="s">
        <v>593</v>
      </c>
      <c r="C59" s="1" t="s">
        <v>1264</v>
      </c>
    </row>
    <row r="60" spans="1:3" x14ac:dyDescent="0.3">
      <c r="A60" s="2" t="s">
        <v>619</v>
      </c>
      <c r="B60" s="1" t="s">
        <v>593</v>
      </c>
      <c r="C60" s="1" t="s">
        <v>1265</v>
      </c>
    </row>
    <row r="61" spans="1:3" x14ac:dyDescent="0.3">
      <c r="A61" s="2" t="s">
        <v>1266</v>
      </c>
      <c r="B61" s="1" t="s">
        <v>9</v>
      </c>
      <c r="C61" s="1" t="s">
        <v>918</v>
      </c>
    </row>
    <row r="62" spans="1:3" x14ac:dyDescent="0.3">
      <c r="A62" s="2" t="s">
        <v>621</v>
      </c>
      <c r="B62" s="1" t="s">
        <v>9</v>
      </c>
      <c r="C62" s="1" t="s">
        <v>1267</v>
      </c>
    </row>
    <row r="63" spans="1:3" x14ac:dyDescent="0.3">
      <c r="A63" s="2" t="s">
        <v>624</v>
      </c>
      <c r="B63" s="1" t="s">
        <v>25</v>
      </c>
      <c r="C63" s="1" t="s">
        <v>1268</v>
      </c>
    </row>
    <row r="64" spans="1:3" x14ac:dyDescent="0.3">
      <c r="A64" s="2" t="s">
        <v>626</v>
      </c>
      <c r="B64" s="1" t="s">
        <v>21</v>
      </c>
      <c r="C64" s="1" t="s">
        <v>1269</v>
      </c>
    </row>
    <row r="65" spans="1:3" x14ac:dyDescent="0.3">
      <c r="A65" s="2" t="s">
        <v>629</v>
      </c>
      <c r="B65" s="1" t="s">
        <v>1222</v>
      </c>
      <c r="C65" s="1" t="s">
        <v>1270</v>
      </c>
    </row>
    <row r="66" spans="1:3" x14ac:dyDescent="0.3">
      <c r="A66" s="2" t="s">
        <v>631</v>
      </c>
      <c r="B66" s="1" t="s">
        <v>1222</v>
      </c>
      <c r="C66" s="1" t="s">
        <v>1271</v>
      </c>
    </row>
    <row r="67" spans="1:3" x14ac:dyDescent="0.3">
      <c r="A67" s="2" t="s">
        <v>633</v>
      </c>
      <c r="B67" s="1" t="s">
        <v>1222</v>
      </c>
      <c r="C67" s="1" t="s">
        <v>1272</v>
      </c>
    </row>
    <row r="68" spans="1:3" x14ac:dyDescent="0.3">
      <c r="A68" s="2" t="s">
        <v>636</v>
      </c>
      <c r="B68" s="1" t="s">
        <v>1222</v>
      </c>
      <c r="C68" s="1" t="s">
        <v>1273</v>
      </c>
    </row>
    <row r="69" spans="1:3" x14ac:dyDescent="0.3">
      <c r="A69" s="2" t="s">
        <v>1274</v>
      </c>
      <c r="B69" s="1" t="s">
        <v>1225</v>
      </c>
      <c r="C69" s="1" t="s">
        <v>1275</v>
      </c>
    </row>
    <row r="70" spans="1:3" x14ac:dyDescent="0.3">
      <c r="A70" s="2" t="s">
        <v>639</v>
      </c>
      <c r="B70" s="1" t="s">
        <v>1225</v>
      </c>
      <c r="C70" s="1" t="s">
        <v>1276</v>
      </c>
    </row>
    <row r="71" spans="1:3" x14ac:dyDescent="0.3">
      <c r="A71" s="2" t="s">
        <v>1277</v>
      </c>
      <c r="B71" s="1" t="s">
        <v>1222</v>
      </c>
      <c r="C71" s="1" t="s">
        <v>1278</v>
      </c>
    </row>
    <row r="72" spans="1:3" x14ac:dyDescent="0.3">
      <c r="A72" s="2" t="s">
        <v>642</v>
      </c>
      <c r="B72" s="1" t="s">
        <v>593</v>
      </c>
      <c r="C72" s="1" t="s">
        <v>1279</v>
      </c>
    </row>
    <row r="73" spans="1:3" x14ac:dyDescent="0.3">
      <c r="A73" s="2" t="s">
        <v>645</v>
      </c>
      <c r="B73" s="1" t="s">
        <v>1222</v>
      </c>
      <c r="C73" s="1" t="s">
        <v>1280</v>
      </c>
    </row>
    <row r="74" spans="1:3" x14ac:dyDescent="0.3">
      <c r="A74" s="2" t="s">
        <v>647</v>
      </c>
      <c r="B74" s="1" t="s">
        <v>1222</v>
      </c>
      <c r="C74" s="1" t="s">
        <v>1281</v>
      </c>
    </row>
    <row r="75" spans="1:3" x14ac:dyDescent="0.3">
      <c r="A75" s="2" t="s">
        <v>650</v>
      </c>
      <c r="B75" s="1" t="s">
        <v>23</v>
      </c>
      <c r="C75" s="1" t="s">
        <v>322</v>
      </c>
    </row>
    <row r="76" spans="1:3" x14ac:dyDescent="0.3">
      <c r="A76" s="2" t="s">
        <v>652</v>
      </c>
      <c r="B76" s="1" t="s">
        <v>1222</v>
      </c>
      <c r="C76" s="1" t="s">
        <v>1282</v>
      </c>
    </row>
    <row r="77" spans="1:3" x14ac:dyDescent="0.3">
      <c r="A77" s="2" t="s">
        <v>654</v>
      </c>
      <c r="B77" s="1" t="s">
        <v>1222</v>
      </c>
      <c r="C77" s="1" t="s">
        <v>1224</v>
      </c>
    </row>
    <row r="78" spans="1:3" x14ac:dyDescent="0.3">
      <c r="A78" s="2" t="s">
        <v>657</v>
      </c>
      <c r="B78" s="1" t="s">
        <v>1222</v>
      </c>
      <c r="C78" s="1" t="s">
        <v>1283</v>
      </c>
    </row>
    <row r="79" spans="1:3" x14ac:dyDescent="0.3">
      <c r="A79" s="2" t="s">
        <v>659</v>
      </c>
      <c r="B79" s="1" t="s">
        <v>593</v>
      </c>
      <c r="C79" s="1" t="s">
        <v>1284</v>
      </c>
    </row>
    <row r="80" spans="1:3" x14ac:dyDescent="0.3">
      <c r="A80" s="2" t="s">
        <v>662</v>
      </c>
      <c r="B80" s="1" t="s">
        <v>593</v>
      </c>
      <c r="C80" s="1" t="s">
        <v>1285</v>
      </c>
    </row>
    <row r="81" spans="1:3" x14ac:dyDescent="0.3">
      <c r="A81" s="2" t="s">
        <v>664</v>
      </c>
      <c r="B81" s="1" t="s">
        <v>1258</v>
      </c>
      <c r="C81" s="1" t="s">
        <v>1286</v>
      </c>
    </row>
    <row r="82" spans="1:3" x14ac:dyDescent="0.3">
      <c r="A82" s="2" t="s">
        <v>666</v>
      </c>
      <c r="B82" s="1" t="s">
        <v>1225</v>
      </c>
      <c r="C82" s="1" t="s">
        <v>1287</v>
      </c>
    </row>
    <row r="83" spans="1:3" x14ac:dyDescent="0.3">
      <c r="A83" s="2" t="s">
        <v>669</v>
      </c>
      <c r="B83" s="1" t="s">
        <v>1225</v>
      </c>
      <c r="C83" s="1" t="s">
        <v>1288</v>
      </c>
    </row>
    <row r="84" spans="1:3" x14ac:dyDescent="0.3">
      <c r="A84" s="2" t="s">
        <v>671</v>
      </c>
      <c r="B84" s="1" t="s">
        <v>1222</v>
      </c>
      <c r="C84" s="1" t="s">
        <v>1289</v>
      </c>
    </row>
    <row r="85" spans="1:3" x14ac:dyDescent="0.3">
      <c r="A85" s="2" t="s">
        <v>674</v>
      </c>
      <c r="B85" s="1" t="s">
        <v>1258</v>
      </c>
      <c r="C85" s="1" t="s">
        <v>1290</v>
      </c>
    </row>
    <row r="86" spans="1:3" x14ac:dyDescent="0.3">
      <c r="A86" s="2" t="s">
        <v>1291</v>
      </c>
      <c r="B86" s="1" t="s">
        <v>1222</v>
      </c>
      <c r="C86" s="1" t="s">
        <v>1292</v>
      </c>
    </row>
    <row r="87" spans="1:3" x14ac:dyDescent="0.3">
      <c r="A87" s="2" t="s">
        <v>676</v>
      </c>
      <c r="B87" s="1" t="s">
        <v>21</v>
      </c>
      <c r="C87" s="1" t="s">
        <v>1293</v>
      </c>
    </row>
    <row r="88" spans="1:3" x14ac:dyDescent="0.3">
      <c r="A88" s="2" t="s">
        <v>679</v>
      </c>
      <c r="B88" s="1" t="s">
        <v>1200</v>
      </c>
      <c r="C88" s="1" t="s">
        <v>1294</v>
      </c>
    </row>
    <row r="89" spans="1:3" x14ac:dyDescent="0.3">
      <c r="A89" s="2" t="s">
        <v>682</v>
      </c>
      <c r="B89" s="1" t="s">
        <v>23</v>
      </c>
      <c r="C89" s="1" t="s">
        <v>1295</v>
      </c>
    </row>
    <row r="90" spans="1:3" x14ac:dyDescent="0.3">
      <c r="A90" s="2" t="s">
        <v>684</v>
      </c>
      <c r="B90" s="1" t="s">
        <v>1222</v>
      </c>
      <c r="C90" s="1" t="s">
        <v>1296</v>
      </c>
    </row>
    <row r="91" spans="1:3" x14ac:dyDescent="0.3">
      <c r="A91" s="2" t="s">
        <v>686</v>
      </c>
      <c r="B91" s="1" t="s">
        <v>1225</v>
      </c>
      <c r="C91" s="1" t="s">
        <v>1297</v>
      </c>
    </row>
    <row r="92" spans="1:3" x14ac:dyDescent="0.3">
      <c r="A92" s="2" t="s">
        <v>688</v>
      </c>
      <c r="B92" s="1" t="s">
        <v>21</v>
      </c>
      <c r="C92" s="1" t="s">
        <v>1298</v>
      </c>
    </row>
    <row r="93" spans="1:3" x14ac:dyDescent="0.3">
      <c r="A93" s="2" t="s">
        <v>1299</v>
      </c>
      <c r="B93" s="1" t="s">
        <v>1225</v>
      </c>
      <c r="C93" s="1" t="s">
        <v>1300</v>
      </c>
    </row>
    <row r="94" spans="1:3" x14ac:dyDescent="0.3">
      <c r="A94" s="2" t="s">
        <v>690</v>
      </c>
      <c r="B94" s="1" t="s">
        <v>1222</v>
      </c>
      <c r="C94" s="1" t="s">
        <v>1301</v>
      </c>
    </row>
    <row r="95" spans="1:3" x14ac:dyDescent="0.3">
      <c r="A95" s="2" t="s">
        <v>692</v>
      </c>
      <c r="B95" s="1" t="s">
        <v>9</v>
      </c>
      <c r="C95" s="1" t="s">
        <v>231</v>
      </c>
    </row>
    <row r="96" spans="1:3" x14ac:dyDescent="0.3">
      <c r="A96" s="2" t="s">
        <v>694</v>
      </c>
      <c r="B96" s="1" t="s">
        <v>578</v>
      </c>
      <c r="C96" s="1" t="s">
        <v>1302</v>
      </c>
    </row>
    <row r="97" spans="1:3" x14ac:dyDescent="0.3">
      <c r="A97" s="2" t="s">
        <v>1303</v>
      </c>
      <c r="B97" s="1" t="s">
        <v>1304</v>
      </c>
      <c r="C97" s="1" t="s">
        <v>1305</v>
      </c>
    </row>
    <row r="98" spans="1:3" x14ac:dyDescent="0.3">
      <c r="A98" s="2" t="s">
        <v>696</v>
      </c>
      <c r="B98" s="1" t="s">
        <v>1306</v>
      </c>
      <c r="C98" s="1" t="s">
        <v>1307</v>
      </c>
    </row>
    <row r="99" spans="1:3" x14ac:dyDescent="0.3">
      <c r="A99" s="2" t="s">
        <v>699</v>
      </c>
      <c r="B99" s="1" t="s">
        <v>593</v>
      </c>
      <c r="C99" s="1" t="s">
        <v>1308</v>
      </c>
    </row>
    <row r="100" spans="1:3" x14ac:dyDescent="0.3">
      <c r="A100" s="2" t="s">
        <v>702</v>
      </c>
      <c r="B100" s="1" t="s">
        <v>593</v>
      </c>
      <c r="C100" s="1" t="s">
        <v>1309</v>
      </c>
    </row>
    <row r="101" spans="1:3" x14ac:dyDescent="0.3">
      <c r="A101" s="2" t="s">
        <v>1310</v>
      </c>
      <c r="B101" s="1" t="s">
        <v>9</v>
      </c>
      <c r="C101" s="1" t="s">
        <v>1311</v>
      </c>
    </row>
    <row r="102" spans="1:3" x14ac:dyDescent="0.3">
      <c r="A102" s="2" t="s">
        <v>704</v>
      </c>
      <c r="B102" s="1" t="s">
        <v>1222</v>
      </c>
      <c r="C102" s="1" t="s">
        <v>1312</v>
      </c>
    </row>
    <row r="103" spans="1:3" x14ac:dyDescent="0.3">
      <c r="A103" s="2" t="s">
        <v>706</v>
      </c>
      <c r="B103" s="1" t="s">
        <v>1200</v>
      </c>
      <c r="C103" s="1" t="s">
        <v>1313</v>
      </c>
    </row>
    <row r="104" spans="1:3" x14ac:dyDescent="0.3">
      <c r="A104" s="2" t="s">
        <v>709</v>
      </c>
      <c r="B104" s="1" t="s">
        <v>1222</v>
      </c>
      <c r="C104" s="1" t="s">
        <v>1314</v>
      </c>
    </row>
    <row r="105" spans="1:3" x14ac:dyDescent="0.3">
      <c r="A105" s="2" t="s">
        <v>1315</v>
      </c>
      <c r="B105" s="1" t="s">
        <v>578</v>
      </c>
      <c r="C105" s="1" t="s">
        <v>1316</v>
      </c>
    </row>
    <row r="106" spans="1:3" x14ac:dyDescent="0.3">
      <c r="A106" s="2" t="s">
        <v>712</v>
      </c>
      <c r="B106" s="1" t="s">
        <v>593</v>
      </c>
      <c r="C106" s="1" t="s">
        <v>1317</v>
      </c>
    </row>
    <row r="107" spans="1:3" x14ac:dyDescent="0.3">
      <c r="A107" s="2" t="s">
        <v>714</v>
      </c>
      <c r="B107" s="1" t="s">
        <v>1232</v>
      </c>
      <c r="C107" s="1" t="s">
        <v>1318</v>
      </c>
    </row>
    <row r="108" spans="1:3" x14ac:dyDescent="0.3">
      <c r="A108" s="2" t="s">
        <v>716</v>
      </c>
      <c r="B108" s="1" t="s">
        <v>1232</v>
      </c>
      <c r="C108" s="1" t="s">
        <v>1319</v>
      </c>
    </row>
    <row r="109" spans="1:3" x14ac:dyDescent="0.3">
      <c r="A109" s="2" t="s">
        <v>719</v>
      </c>
      <c r="B109" s="1" t="s">
        <v>1225</v>
      </c>
      <c r="C109" s="1" t="s">
        <v>1320</v>
      </c>
    </row>
    <row r="110" spans="1:3" x14ac:dyDescent="0.3">
      <c r="A110" s="2" t="s">
        <v>1321</v>
      </c>
      <c r="B110" s="1" t="s">
        <v>23</v>
      </c>
      <c r="C110" s="1" t="s">
        <v>1322</v>
      </c>
    </row>
    <row r="111" spans="1:3" x14ac:dyDescent="0.3">
      <c r="A111" s="2" t="s">
        <v>723</v>
      </c>
      <c r="B111" s="1" t="s">
        <v>21</v>
      </c>
      <c r="C111" s="1" t="s">
        <v>1323</v>
      </c>
    </row>
    <row r="112" spans="1:3" x14ac:dyDescent="0.3">
      <c r="A112" s="2" t="s">
        <v>725</v>
      </c>
      <c r="B112" s="1" t="s">
        <v>593</v>
      </c>
      <c r="C112" s="1" t="s">
        <v>1324</v>
      </c>
    </row>
    <row r="113" spans="1:3" x14ac:dyDescent="0.3">
      <c r="A113" s="2" t="s">
        <v>727</v>
      </c>
      <c r="B113" s="1" t="s">
        <v>1225</v>
      </c>
      <c r="C113" s="1" t="s">
        <v>1325</v>
      </c>
    </row>
    <row r="114" spans="1:3" x14ac:dyDescent="0.3">
      <c r="A114" s="2" t="s">
        <v>729</v>
      </c>
      <c r="B114" s="1" t="s">
        <v>593</v>
      </c>
      <c r="C114" s="1" t="s">
        <v>1326</v>
      </c>
    </row>
    <row r="115" spans="1:3" x14ac:dyDescent="0.3">
      <c r="A115" s="2" t="s">
        <v>732</v>
      </c>
      <c r="B115" s="1" t="s">
        <v>25</v>
      </c>
      <c r="C115" s="1" t="s">
        <v>1327</v>
      </c>
    </row>
    <row r="116" spans="1:3" x14ac:dyDescent="0.3">
      <c r="A116" s="2" t="s">
        <v>1328</v>
      </c>
      <c r="B116" s="1" t="s">
        <v>1222</v>
      </c>
      <c r="C116" s="1" t="s">
        <v>1329</v>
      </c>
    </row>
    <row r="117" spans="1:3" x14ac:dyDescent="0.3">
      <c r="A117" s="2" t="s">
        <v>1330</v>
      </c>
      <c r="B117" s="1" t="s">
        <v>1222</v>
      </c>
      <c r="C117" s="1" t="s">
        <v>1331</v>
      </c>
    </row>
    <row r="118" spans="1:3" x14ac:dyDescent="0.3">
      <c r="A118" s="2" t="s">
        <v>734</v>
      </c>
      <c r="B118" s="1" t="s">
        <v>1222</v>
      </c>
      <c r="C118" s="1" t="s">
        <v>1332</v>
      </c>
    </row>
    <row r="119" spans="1:3" x14ac:dyDescent="0.3">
      <c r="A119" s="2" t="s">
        <v>736</v>
      </c>
      <c r="B119" s="1" t="s">
        <v>1225</v>
      </c>
      <c r="C119" s="1" t="s">
        <v>1333</v>
      </c>
    </row>
    <row r="120" spans="1:3" x14ac:dyDescent="0.3">
      <c r="A120" s="2" t="s">
        <v>738</v>
      </c>
      <c r="B120" s="1" t="s">
        <v>23</v>
      </c>
      <c r="C120" s="1" t="s">
        <v>1334</v>
      </c>
    </row>
    <row r="121" spans="1:3" x14ac:dyDescent="0.3">
      <c r="A121" s="2" t="s">
        <v>1335</v>
      </c>
      <c r="B121" s="1" t="s">
        <v>1225</v>
      </c>
      <c r="C121" s="1" t="s">
        <v>1336</v>
      </c>
    </row>
    <row r="122" spans="1:3" x14ac:dyDescent="0.3">
      <c r="A122" s="2" t="s">
        <v>1337</v>
      </c>
      <c r="B122" s="1" t="s">
        <v>593</v>
      </c>
      <c r="C122" s="1" t="s">
        <v>1338</v>
      </c>
    </row>
    <row r="123" spans="1:3" x14ac:dyDescent="0.3">
      <c r="A123" s="2" t="s">
        <v>740</v>
      </c>
      <c r="B123" s="1" t="s">
        <v>9</v>
      </c>
      <c r="C123" s="1" t="s">
        <v>377</v>
      </c>
    </row>
    <row r="124" spans="1:3" x14ac:dyDescent="0.3">
      <c r="A124" s="2" t="s">
        <v>1339</v>
      </c>
      <c r="B124" s="1" t="s">
        <v>1241</v>
      </c>
      <c r="C124" s="1" t="s">
        <v>1340</v>
      </c>
    </row>
    <row r="125" spans="1:3" x14ac:dyDescent="0.3">
      <c r="A125" s="2" t="s">
        <v>743</v>
      </c>
      <c r="B125" s="1" t="s">
        <v>593</v>
      </c>
      <c r="C125" s="1" t="s">
        <v>1341</v>
      </c>
    </row>
    <row r="126" spans="1:3" x14ac:dyDescent="0.3">
      <c r="A126" s="2" t="s">
        <v>745</v>
      </c>
      <c r="B126" s="1" t="s">
        <v>593</v>
      </c>
      <c r="C126" s="1" t="s">
        <v>1342</v>
      </c>
    </row>
    <row r="127" spans="1:3" x14ac:dyDescent="0.3">
      <c r="A127" s="2" t="s">
        <v>748</v>
      </c>
      <c r="B127" s="1" t="s">
        <v>1222</v>
      </c>
      <c r="C127" s="1" t="s">
        <v>1343</v>
      </c>
    </row>
    <row r="128" spans="1:3" x14ac:dyDescent="0.3">
      <c r="A128" s="2" t="s">
        <v>750</v>
      </c>
      <c r="B128" s="1" t="s">
        <v>1225</v>
      </c>
      <c r="C128" s="1" t="s">
        <v>1344</v>
      </c>
    </row>
    <row r="129" spans="1:3" x14ac:dyDescent="0.3">
      <c r="A129" s="2" t="s">
        <v>752</v>
      </c>
      <c r="B129" s="1" t="s">
        <v>578</v>
      </c>
      <c r="C129" s="1" t="s">
        <v>1345</v>
      </c>
    </row>
    <row r="130" spans="1:3" x14ac:dyDescent="0.3">
      <c r="A130" s="2" t="s">
        <v>1346</v>
      </c>
      <c r="B130" s="1" t="s">
        <v>9</v>
      </c>
      <c r="C130" s="1" t="s">
        <v>1347</v>
      </c>
    </row>
    <row r="131" spans="1:3" x14ac:dyDescent="0.3">
      <c r="A131" s="2" t="s">
        <v>754</v>
      </c>
      <c r="B131" s="1" t="s">
        <v>578</v>
      </c>
      <c r="C131" s="1" t="s">
        <v>1348</v>
      </c>
    </row>
    <row r="132" spans="1:3" x14ac:dyDescent="0.3">
      <c r="A132" s="2" t="s">
        <v>757</v>
      </c>
      <c r="B132" s="1" t="s">
        <v>1225</v>
      </c>
      <c r="C132" s="1" t="s">
        <v>1349</v>
      </c>
    </row>
    <row r="133" spans="1:3" x14ac:dyDescent="0.3">
      <c r="A133" s="2" t="s">
        <v>1350</v>
      </c>
      <c r="B133" s="1" t="s">
        <v>593</v>
      </c>
      <c r="C133" s="1" t="s">
        <v>1351</v>
      </c>
    </row>
    <row r="134" spans="1:3" x14ac:dyDescent="0.3">
      <c r="A134" s="2" t="s">
        <v>759</v>
      </c>
      <c r="B134" s="1" t="s">
        <v>1222</v>
      </c>
      <c r="C134" s="1" t="s">
        <v>1352</v>
      </c>
    </row>
    <row r="135" spans="1:3" x14ac:dyDescent="0.3">
      <c r="A135" s="2" t="s">
        <v>1353</v>
      </c>
      <c r="B135" s="1" t="s">
        <v>9</v>
      </c>
      <c r="C135" s="1" t="s">
        <v>1354</v>
      </c>
    </row>
    <row r="136" spans="1:3" x14ac:dyDescent="0.3">
      <c r="A136" s="2" t="s">
        <v>761</v>
      </c>
      <c r="B136" s="1" t="s">
        <v>9</v>
      </c>
      <c r="C136" s="1" t="s">
        <v>253</v>
      </c>
    </row>
    <row r="137" spans="1:3" x14ac:dyDescent="0.3">
      <c r="A137" s="2" t="s">
        <v>764</v>
      </c>
      <c r="B137" s="1" t="s">
        <v>1241</v>
      </c>
      <c r="C137" s="1" t="s">
        <v>335</v>
      </c>
    </row>
    <row r="138" spans="1:3" x14ac:dyDescent="0.3">
      <c r="A138" s="2" t="s">
        <v>1355</v>
      </c>
      <c r="B138" s="1" t="s">
        <v>23</v>
      </c>
      <c r="C138" s="1" t="s">
        <v>1356</v>
      </c>
    </row>
    <row r="139" spans="1:3" x14ac:dyDescent="0.3">
      <c r="A139" s="2" t="s">
        <v>766</v>
      </c>
      <c r="B139" s="1" t="s">
        <v>9</v>
      </c>
      <c r="C139" s="1" t="s">
        <v>1357</v>
      </c>
    </row>
    <row r="140" spans="1:3" x14ac:dyDescent="0.3">
      <c r="A140" s="2" t="s">
        <v>769</v>
      </c>
      <c r="B140" s="1" t="s">
        <v>1358</v>
      </c>
      <c r="C140" s="1" t="s">
        <v>1359</v>
      </c>
    </row>
    <row r="141" spans="1:3" x14ac:dyDescent="0.3">
      <c r="A141" s="2" t="s">
        <v>1360</v>
      </c>
      <c r="B141" s="1" t="s">
        <v>1232</v>
      </c>
      <c r="C141" s="1" t="s">
        <v>1361</v>
      </c>
    </row>
    <row r="142" spans="1:3" x14ac:dyDescent="0.3">
      <c r="A142" s="2" t="s">
        <v>1362</v>
      </c>
      <c r="B142" s="1" t="s">
        <v>23</v>
      </c>
      <c r="C142" s="1" t="s">
        <v>1363</v>
      </c>
    </row>
    <row r="143" spans="1:3" x14ac:dyDescent="0.3">
      <c r="A143" s="2" t="s">
        <v>770</v>
      </c>
      <c r="B143" s="1" t="s">
        <v>511</v>
      </c>
      <c r="C143" s="1" t="s">
        <v>771</v>
      </c>
    </row>
    <row r="144" spans="1:3" x14ac:dyDescent="0.3">
      <c r="A144" s="2" t="s">
        <v>1364</v>
      </c>
      <c r="B144" s="1" t="s">
        <v>1241</v>
      </c>
      <c r="C144" s="1" t="s">
        <v>1365</v>
      </c>
    </row>
    <row r="145" spans="1:3" x14ac:dyDescent="0.3">
      <c r="A145" s="2" t="s">
        <v>1366</v>
      </c>
      <c r="B145" s="1" t="s">
        <v>1258</v>
      </c>
      <c r="C145" s="1" t="s">
        <v>1367</v>
      </c>
    </row>
    <row r="146" spans="1:3" x14ac:dyDescent="0.3">
      <c r="A146" s="2" t="s">
        <v>772</v>
      </c>
      <c r="B146" s="1" t="s">
        <v>1258</v>
      </c>
      <c r="C146" s="1" t="s">
        <v>773</v>
      </c>
    </row>
    <row r="147" spans="1:3" x14ac:dyDescent="0.3">
      <c r="A147" s="2" t="s">
        <v>775</v>
      </c>
      <c r="B147" s="1" t="s">
        <v>593</v>
      </c>
      <c r="C147" s="1" t="s">
        <v>776</v>
      </c>
    </row>
    <row r="148" spans="1:3" x14ac:dyDescent="0.3">
      <c r="A148" s="2" t="s">
        <v>1368</v>
      </c>
      <c r="B148" s="1" t="s">
        <v>593</v>
      </c>
      <c r="C148" s="1" t="s">
        <v>1369</v>
      </c>
    </row>
    <row r="149" spans="1:3" x14ac:dyDescent="0.3">
      <c r="A149" s="2" t="s">
        <v>777</v>
      </c>
      <c r="B149" s="1" t="s">
        <v>1200</v>
      </c>
      <c r="C149" s="1" t="s">
        <v>778</v>
      </c>
    </row>
    <row r="150" spans="1:3" x14ac:dyDescent="0.3">
      <c r="A150" s="2" t="s">
        <v>780</v>
      </c>
      <c r="B150" s="1" t="s">
        <v>1200</v>
      </c>
      <c r="C150" s="1" t="s">
        <v>781</v>
      </c>
    </row>
    <row r="151" spans="1:3" x14ac:dyDescent="0.3">
      <c r="A151" s="2" t="s">
        <v>782</v>
      </c>
      <c r="B151" s="1" t="s">
        <v>1222</v>
      </c>
      <c r="C151" s="1" t="s">
        <v>783</v>
      </c>
    </row>
    <row r="152" spans="1:3" x14ac:dyDescent="0.3">
      <c r="A152" s="2" t="s">
        <v>1370</v>
      </c>
      <c r="B152" s="1" t="s">
        <v>1222</v>
      </c>
      <c r="C152" s="1" t="s">
        <v>1371</v>
      </c>
    </row>
    <row r="153" spans="1:3" x14ac:dyDescent="0.3">
      <c r="A153" s="2" t="s">
        <v>784</v>
      </c>
      <c r="B153" s="1" t="s">
        <v>1225</v>
      </c>
      <c r="C153" s="1" t="s">
        <v>785</v>
      </c>
    </row>
    <row r="154" spans="1:3" x14ac:dyDescent="0.3">
      <c r="A154" s="2" t="s">
        <v>786</v>
      </c>
      <c r="B154" s="1" t="s">
        <v>1225</v>
      </c>
      <c r="C154" s="1" t="s">
        <v>787</v>
      </c>
    </row>
    <row r="155" spans="1:3" x14ac:dyDescent="0.3">
      <c r="A155" s="2" t="s">
        <v>788</v>
      </c>
      <c r="B155" s="1" t="s">
        <v>1225</v>
      </c>
      <c r="C155" s="1" t="s">
        <v>789</v>
      </c>
    </row>
    <row r="156" spans="1:3" x14ac:dyDescent="0.3">
      <c r="A156" s="2" t="s">
        <v>790</v>
      </c>
      <c r="B156" s="1" t="s">
        <v>511</v>
      </c>
      <c r="C156" s="1" t="s">
        <v>791</v>
      </c>
    </row>
    <row r="157" spans="1:3" x14ac:dyDescent="0.3">
      <c r="A157" s="2" t="s">
        <v>792</v>
      </c>
      <c r="B157" s="1" t="s">
        <v>1225</v>
      </c>
      <c r="C157" s="1" t="s">
        <v>793</v>
      </c>
    </row>
    <row r="158" spans="1:3" x14ac:dyDescent="0.3">
      <c r="A158" s="2" t="s">
        <v>1372</v>
      </c>
      <c r="B158" s="1" t="s">
        <v>1225</v>
      </c>
      <c r="C158" s="1" t="s">
        <v>1373</v>
      </c>
    </row>
    <row r="159" spans="1:3" x14ac:dyDescent="0.3">
      <c r="A159" s="2" t="s">
        <v>794</v>
      </c>
      <c r="B159" s="1" t="s">
        <v>1225</v>
      </c>
      <c r="C159" s="1" t="s">
        <v>795</v>
      </c>
    </row>
    <row r="160" spans="1:3" x14ac:dyDescent="0.3">
      <c r="A160" s="2" t="s">
        <v>796</v>
      </c>
    </row>
    <row r="161" spans="1:1" x14ac:dyDescent="0.3">
      <c r="A161" s="2" t="s">
        <v>799</v>
      </c>
    </row>
    <row r="162" spans="1:1" x14ac:dyDescent="0.3">
      <c r="A162" s="2" t="s">
        <v>801</v>
      </c>
    </row>
    <row r="163" spans="1:1" x14ac:dyDescent="0.3">
      <c r="A163" s="2" t="s">
        <v>803</v>
      </c>
    </row>
    <row r="164" spans="1:1" x14ac:dyDescent="0.3">
      <c r="A164" s="2" t="s">
        <v>805</v>
      </c>
    </row>
    <row r="165" spans="1:1" x14ac:dyDescent="0.3">
      <c r="A165" s="2" t="s">
        <v>807</v>
      </c>
    </row>
    <row r="166" spans="1:1" x14ac:dyDescent="0.3">
      <c r="A166" s="2" t="s">
        <v>809</v>
      </c>
    </row>
    <row r="167" spans="1:1" x14ac:dyDescent="0.3">
      <c r="A167" s="2" t="s">
        <v>813</v>
      </c>
    </row>
    <row r="168" spans="1:1" x14ac:dyDescent="0.3">
      <c r="A168" s="2" t="s">
        <v>815</v>
      </c>
    </row>
    <row r="169" spans="1:1" x14ac:dyDescent="0.3">
      <c r="A169" s="2" t="s">
        <v>819</v>
      </c>
    </row>
    <row r="170" spans="1:1" x14ac:dyDescent="0.3">
      <c r="A170" s="2" t="s">
        <v>821</v>
      </c>
    </row>
    <row r="171" spans="1:1" x14ac:dyDescent="0.3">
      <c r="A171" s="2" t="s">
        <v>823</v>
      </c>
    </row>
    <row r="172" spans="1:1" x14ac:dyDescent="0.3">
      <c r="A172" s="2" t="s">
        <v>825</v>
      </c>
    </row>
    <row r="173" spans="1:1" x14ac:dyDescent="0.3">
      <c r="A173" s="2" t="s">
        <v>827</v>
      </c>
    </row>
    <row r="174" spans="1:1" x14ac:dyDescent="0.3">
      <c r="A174" s="2" t="s">
        <v>831</v>
      </c>
    </row>
    <row r="175" spans="1:1" x14ac:dyDescent="0.3">
      <c r="A175" s="2" t="s">
        <v>833</v>
      </c>
    </row>
    <row r="176" spans="1:1" x14ac:dyDescent="0.3">
      <c r="A176" s="2" t="s">
        <v>835</v>
      </c>
    </row>
    <row r="177" spans="1:1" x14ac:dyDescent="0.3">
      <c r="A177" s="2" t="s">
        <v>837</v>
      </c>
    </row>
    <row r="178" spans="1:1" x14ac:dyDescent="0.3">
      <c r="A178" s="2" t="s">
        <v>839</v>
      </c>
    </row>
    <row r="179" spans="1:1" x14ac:dyDescent="0.3">
      <c r="A179" s="2" t="s">
        <v>842</v>
      </c>
    </row>
    <row r="180" spans="1:1" x14ac:dyDescent="0.3">
      <c r="A180" s="2" t="s">
        <v>844</v>
      </c>
    </row>
    <row r="181" spans="1:1" x14ac:dyDescent="0.3">
      <c r="A181" s="2" t="s">
        <v>1374</v>
      </c>
    </row>
    <row r="182" spans="1:1" x14ac:dyDescent="0.3">
      <c r="A182" s="2" t="s">
        <v>1375</v>
      </c>
    </row>
    <row r="183" spans="1:1" x14ac:dyDescent="0.3">
      <c r="A183" s="2" t="s">
        <v>846</v>
      </c>
    </row>
    <row r="184" spans="1:1" x14ac:dyDescent="0.3">
      <c r="A184" s="2" t="s">
        <v>1376</v>
      </c>
    </row>
    <row r="185" spans="1:1" x14ac:dyDescent="0.3">
      <c r="A185" s="2" t="s">
        <v>1377</v>
      </c>
    </row>
    <row r="186" spans="1:1" x14ac:dyDescent="0.3">
      <c r="A186" s="2" t="s">
        <v>1378</v>
      </c>
    </row>
    <row r="187" spans="1:1" x14ac:dyDescent="0.3">
      <c r="A187" s="2" t="s">
        <v>848</v>
      </c>
    </row>
    <row r="188" spans="1:1" x14ac:dyDescent="0.3">
      <c r="A188" s="2" t="s">
        <v>851</v>
      </c>
    </row>
    <row r="189" spans="1:1" x14ac:dyDescent="0.3">
      <c r="A189" s="2" t="s">
        <v>853</v>
      </c>
    </row>
    <row r="190" spans="1:1" x14ac:dyDescent="0.3">
      <c r="A190" s="2" t="s">
        <v>855</v>
      </c>
    </row>
    <row r="191" spans="1:1" x14ac:dyDescent="0.3">
      <c r="A191" s="2" t="s">
        <v>857</v>
      </c>
    </row>
    <row r="192" spans="1:1" x14ac:dyDescent="0.3">
      <c r="A192" s="2" t="s">
        <v>859</v>
      </c>
    </row>
    <row r="193" spans="1:1" x14ac:dyDescent="0.3">
      <c r="A193" s="2" t="s">
        <v>861</v>
      </c>
    </row>
    <row r="194" spans="1:1" x14ac:dyDescent="0.3">
      <c r="A194" s="2" t="s">
        <v>863</v>
      </c>
    </row>
    <row r="195" spans="1:1" x14ac:dyDescent="0.3">
      <c r="A195" s="2" t="s">
        <v>1379</v>
      </c>
    </row>
    <row r="196" spans="1:1" x14ac:dyDescent="0.3">
      <c r="A196" s="2" t="s">
        <v>865</v>
      </c>
    </row>
    <row r="197" spans="1:1" x14ac:dyDescent="0.3">
      <c r="A197" s="2" t="s">
        <v>867</v>
      </c>
    </row>
    <row r="198" spans="1:1" x14ac:dyDescent="0.3">
      <c r="A198" s="2" t="s">
        <v>870</v>
      </c>
    </row>
    <row r="199" spans="1:1" x14ac:dyDescent="0.3">
      <c r="A199" s="2" t="s">
        <v>872</v>
      </c>
    </row>
    <row r="200" spans="1:1" x14ac:dyDescent="0.3">
      <c r="A200" s="2" t="s">
        <v>874</v>
      </c>
    </row>
    <row r="201" spans="1:1" x14ac:dyDescent="0.3">
      <c r="A201" s="2" t="s">
        <v>876</v>
      </c>
    </row>
    <row r="202" spans="1:1" x14ac:dyDescent="0.3">
      <c r="A202" s="2" t="s">
        <v>878</v>
      </c>
    </row>
    <row r="203" spans="1:1" x14ac:dyDescent="0.3">
      <c r="A203" s="2" t="s">
        <v>880</v>
      </c>
    </row>
    <row r="204" spans="1:1" x14ac:dyDescent="0.3">
      <c r="A204" s="2" t="s">
        <v>1380</v>
      </c>
    </row>
    <row r="205" spans="1:1" x14ac:dyDescent="0.3">
      <c r="A205" s="2" t="s">
        <v>1381</v>
      </c>
    </row>
    <row r="206" spans="1:1" x14ac:dyDescent="0.3">
      <c r="A206" s="2" t="s">
        <v>882</v>
      </c>
    </row>
    <row r="207" spans="1:1" x14ac:dyDescent="0.3">
      <c r="A207" s="2" t="s">
        <v>884</v>
      </c>
    </row>
    <row r="208" spans="1:1" x14ac:dyDescent="0.3">
      <c r="A208" s="2" t="s">
        <v>887</v>
      </c>
    </row>
    <row r="209" spans="1:3" x14ac:dyDescent="0.3">
      <c r="A209" s="2" t="s">
        <v>1382</v>
      </c>
    </row>
    <row r="210" spans="1:3" x14ac:dyDescent="0.3">
      <c r="A210" s="2" t="s">
        <v>890</v>
      </c>
    </row>
    <row r="211" spans="1:3" x14ac:dyDescent="0.3">
      <c r="A211" s="2" t="s">
        <v>894</v>
      </c>
      <c r="B211" s="18" t="s">
        <v>7</v>
      </c>
      <c r="C211" s="18" t="s">
        <v>895</v>
      </c>
    </row>
  </sheetData>
  <autoFilter ref="A1:C2" xr:uid="{00000000-0009-0000-0000-000006000000}">
    <sortState xmlns:xlrd2="http://schemas.microsoft.com/office/spreadsheetml/2017/richdata2" ref="A4:C159">
      <sortCondition ref="A1:A2"/>
    </sortState>
  </autoFilter>
  <mergeCells count="3">
    <mergeCell ref="C1:C2"/>
    <mergeCell ref="B1:B2"/>
    <mergeCell ref="A1:A2"/>
  </mergeCells>
  <phoneticPr fontId="1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4</vt:i4>
      </vt:variant>
    </vt:vector>
  </HeadingPairs>
  <TitlesOfParts>
    <vt:vector size="11" baseType="lpstr">
      <vt:lpstr>CC정리</vt:lpstr>
      <vt:lpstr>정산내역</vt:lpstr>
      <vt:lpstr>e-DAHS 전표내역</vt:lpstr>
      <vt:lpstr>세중 발권리스트</vt:lpstr>
      <vt:lpstr>하나카드 결제내역</vt:lpstr>
      <vt:lpstr>영문국문명</vt:lpstr>
      <vt:lpstr>사번소속이름</vt:lpstr>
      <vt:lpstr>'세중 발권리스트'!ExternalData_1</vt:lpstr>
      <vt:lpstr>'세중 발권리스트'!ExternalData_6</vt:lpstr>
      <vt:lpstr>'세중 발권리스트'!ExternalData_7</vt:lpstr>
      <vt:lpstr>'세중 발권리스트'!ExternalData_8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정영욱 (JEONG YOUNG WOOK)</dc:creator>
  <cp:lastModifiedBy>정영욱 (JEONG YOUNG WOOK)</cp:lastModifiedBy>
  <dcterms:created xsi:type="dcterms:W3CDTF">2024-06-19T09:00:01Z</dcterms:created>
  <dcterms:modified xsi:type="dcterms:W3CDTF">2026-04-21T06:03:02Z</dcterms:modified>
</cp:coreProperties>
</file>